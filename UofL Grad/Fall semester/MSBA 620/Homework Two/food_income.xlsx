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rdmaillouisville-my.sharepoint.com/personal/upacha01_louisville_edu1/Documents/Grad School/UofL Grad/MSBA 620/Homework Two/"/>
    </mc:Choice>
  </mc:AlternateContent>
  <xr:revisionPtr revIDLastSave="113" documentId="8_{7D5E5D04-BD99-EE43-9BCF-238DFADBC8C2}" xr6:coauthVersionLast="47" xr6:coauthVersionMax="47" xr10:uidLastSave="{DCD65DA4-64B5-9849-A879-6359C0E61B85}"/>
  <bookViews>
    <workbookView minimized="1" xWindow="0" yWindow="780" windowWidth="34200" windowHeight="21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2" i="1"/>
  <c r="G2" i="1"/>
  <c r="F2" i="1"/>
  <c r="E2" i="1" a="1"/>
  <c r="E2" i="1" s="1"/>
  <c r="D2" i="1"/>
  <c r="C2" i="1"/>
  <c r="L58" i="1"/>
  <c r="L5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<sst xmlns="http://schemas.openxmlformats.org/spreadsheetml/2006/main" count="34" uniqueCount="31">
  <si>
    <t>Income</t>
  </si>
  <si>
    <t>Food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</si>
  <si>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</si>
  <si>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</si>
  <si>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</si>
  <si>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</si>
  <si>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</si>
  <si>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</si>
  <si>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</si>
  <si>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</si>
  <si>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</si>
  <si>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</si>
  <si>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</si>
  <si>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</si>
  <si>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</si>
  <si>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</si>
  <si>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</si>
  <si>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</si>
  <si>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</si>
  <si>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</si>
  <si>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</si>
  <si>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</si>
  <si>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</si>
  <si>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</si>
  <si>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MarrErr</t>
  </si>
  <si>
    <t>Mean</t>
  </si>
  <si>
    <t>sample SD</t>
  </si>
  <si>
    <t>t crit</t>
  </si>
  <si>
    <t xml:space="preserve">Margin of error </t>
  </si>
  <si>
    <t>LCL</t>
  </si>
  <si>
    <t>UCL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</si>
</sst>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i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3" fillId="0" borderId="0" xfId="0" applyFont="1"/>
    <xf numFmtId="0" fontId="4" fillId="0" borderId="1" xfId="0" applyFont="1" applyBorder="1"/>
    <xf numFmtId="0" fontId="5" fillId="0" borderId="2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Food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Sheet1!$A$2:$A$151</c:f>
              <c:numCache>
                <c:formatCode>General</c:formatCode>
                <c:ptCount val="150"/>
                <c:pt idx="0">
                  <c:v>53</c:v>
                </c:pt>
                <c:pt idx="1">
                  <c:v>47</c:v>
                </c:pt>
                <c:pt idx="2">
                  <c:v>59</c:v>
                </c:pt>
                <c:pt idx="3">
                  <c:v>44</c:v>
                </c:pt>
                <c:pt idx="4">
                  <c:v>87</c:v>
                </c:pt>
                <c:pt idx="5">
                  <c:v>56</c:v>
                </c:pt>
                <c:pt idx="6">
                  <c:v>62</c:v>
                </c:pt>
                <c:pt idx="7">
                  <c:v>60</c:v>
                </c:pt>
                <c:pt idx="8">
                  <c:v>70</c:v>
                </c:pt>
                <c:pt idx="9">
                  <c:v>85</c:v>
                </c:pt>
                <c:pt idx="10">
                  <c:v>63</c:v>
                </c:pt>
                <c:pt idx="11">
                  <c:v>57</c:v>
                </c:pt>
                <c:pt idx="12">
                  <c:v>59</c:v>
                </c:pt>
                <c:pt idx="13">
                  <c:v>64</c:v>
                </c:pt>
                <c:pt idx="14">
                  <c:v>45</c:v>
                </c:pt>
                <c:pt idx="15">
                  <c:v>62</c:v>
                </c:pt>
                <c:pt idx="16">
                  <c:v>63</c:v>
                </c:pt>
                <c:pt idx="17">
                  <c:v>55</c:v>
                </c:pt>
                <c:pt idx="18">
                  <c:v>77</c:v>
                </c:pt>
                <c:pt idx="19">
                  <c:v>52</c:v>
                </c:pt>
                <c:pt idx="20">
                  <c:v>72</c:v>
                </c:pt>
                <c:pt idx="21">
                  <c:v>64</c:v>
                </c:pt>
                <c:pt idx="22">
                  <c:v>68</c:v>
                </c:pt>
                <c:pt idx="23">
                  <c:v>54</c:v>
                </c:pt>
                <c:pt idx="24">
                  <c:v>63</c:v>
                </c:pt>
                <c:pt idx="25">
                  <c:v>57</c:v>
                </c:pt>
                <c:pt idx="26">
                  <c:v>67</c:v>
                </c:pt>
                <c:pt idx="27">
                  <c:v>47</c:v>
                </c:pt>
                <c:pt idx="28">
                  <c:v>58</c:v>
                </c:pt>
                <c:pt idx="29">
                  <c:v>58</c:v>
                </c:pt>
                <c:pt idx="30">
                  <c:v>58</c:v>
                </c:pt>
                <c:pt idx="31">
                  <c:v>57</c:v>
                </c:pt>
                <c:pt idx="32">
                  <c:v>66</c:v>
                </c:pt>
                <c:pt idx="33">
                  <c:v>67</c:v>
                </c:pt>
                <c:pt idx="34">
                  <c:v>63</c:v>
                </c:pt>
                <c:pt idx="35">
                  <c:v>62</c:v>
                </c:pt>
                <c:pt idx="36">
                  <c:v>49</c:v>
                </c:pt>
                <c:pt idx="37">
                  <c:v>42</c:v>
                </c:pt>
                <c:pt idx="38">
                  <c:v>70</c:v>
                </c:pt>
                <c:pt idx="39">
                  <c:v>42</c:v>
                </c:pt>
                <c:pt idx="40">
                  <c:v>69</c:v>
                </c:pt>
                <c:pt idx="41">
                  <c:v>28</c:v>
                </c:pt>
                <c:pt idx="42">
                  <c:v>53</c:v>
                </c:pt>
                <c:pt idx="43">
                  <c:v>59</c:v>
                </c:pt>
                <c:pt idx="44">
                  <c:v>44</c:v>
                </c:pt>
                <c:pt idx="45">
                  <c:v>61</c:v>
                </c:pt>
                <c:pt idx="46">
                  <c:v>54</c:v>
                </c:pt>
                <c:pt idx="47">
                  <c:v>67</c:v>
                </c:pt>
                <c:pt idx="48">
                  <c:v>55</c:v>
                </c:pt>
                <c:pt idx="49">
                  <c:v>56</c:v>
                </c:pt>
                <c:pt idx="50">
                  <c:v>74</c:v>
                </c:pt>
                <c:pt idx="51">
                  <c:v>33</c:v>
                </c:pt>
                <c:pt idx="52">
                  <c:v>67</c:v>
                </c:pt>
                <c:pt idx="53">
                  <c:v>55</c:v>
                </c:pt>
                <c:pt idx="54">
                  <c:v>50</c:v>
                </c:pt>
                <c:pt idx="55">
                  <c:v>52</c:v>
                </c:pt>
                <c:pt idx="56">
                  <c:v>47</c:v>
                </c:pt>
                <c:pt idx="57">
                  <c:v>48</c:v>
                </c:pt>
                <c:pt idx="58">
                  <c:v>59</c:v>
                </c:pt>
                <c:pt idx="59">
                  <c:v>60</c:v>
                </c:pt>
                <c:pt idx="60">
                  <c:v>50</c:v>
                </c:pt>
                <c:pt idx="61">
                  <c:v>46</c:v>
                </c:pt>
                <c:pt idx="62">
                  <c:v>70</c:v>
                </c:pt>
                <c:pt idx="63">
                  <c:v>56</c:v>
                </c:pt>
                <c:pt idx="64">
                  <c:v>53</c:v>
                </c:pt>
                <c:pt idx="65">
                  <c:v>72</c:v>
                </c:pt>
                <c:pt idx="66">
                  <c:v>70</c:v>
                </c:pt>
                <c:pt idx="67">
                  <c:v>35</c:v>
                </c:pt>
                <c:pt idx="68">
                  <c:v>58</c:v>
                </c:pt>
                <c:pt idx="69">
                  <c:v>71</c:v>
                </c:pt>
                <c:pt idx="70">
                  <c:v>53</c:v>
                </c:pt>
                <c:pt idx="71">
                  <c:v>77</c:v>
                </c:pt>
                <c:pt idx="72">
                  <c:v>68</c:v>
                </c:pt>
                <c:pt idx="73">
                  <c:v>61</c:v>
                </c:pt>
                <c:pt idx="74">
                  <c:v>77</c:v>
                </c:pt>
                <c:pt idx="75">
                  <c:v>58</c:v>
                </c:pt>
                <c:pt idx="76">
                  <c:v>57</c:v>
                </c:pt>
                <c:pt idx="77">
                  <c:v>63</c:v>
                </c:pt>
                <c:pt idx="78">
                  <c:v>52</c:v>
                </c:pt>
                <c:pt idx="79">
                  <c:v>58</c:v>
                </c:pt>
                <c:pt idx="80">
                  <c:v>64</c:v>
                </c:pt>
                <c:pt idx="81">
                  <c:v>55</c:v>
                </c:pt>
                <c:pt idx="82">
                  <c:v>62</c:v>
                </c:pt>
                <c:pt idx="83">
                  <c:v>41</c:v>
                </c:pt>
                <c:pt idx="84">
                  <c:v>45</c:v>
                </c:pt>
                <c:pt idx="85">
                  <c:v>55</c:v>
                </c:pt>
                <c:pt idx="86">
                  <c:v>58</c:v>
                </c:pt>
                <c:pt idx="87">
                  <c:v>70</c:v>
                </c:pt>
                <c:pt idx="88">
                  <c:v>41</c:v>
                </c:pt>
                <c:pt idx="89">
                  <c:v>81</c:v>
                </c:pt>
                <c:pt idx="90">
                  <c:v>52</c:v>
                </c:pt>
                <c:pt idx="91">
                  <c:v>56</c:v>
                </c:pt>
                <c:pt idx="92">
                  <c:v>76</c:v>
                </c:pt>
                <c:pt idx="93">
                  <c:v>65</c:v>
                </c:pt>
                <c:pt idx="94">
                  <c:v>67</c:v>
                </c:pt>
                <c:pt idx="95">
                  <c:v>67</c:v>
                </c:pt>
                <c:pt idx="96">
                  <c:v>45</c:v>
                </c:pt>
                <c:pt idx="97">
                  <c:v>82</c:v>
                </c:pt>
                <c:pt idx="98">
                  <c:v>65</c:v>
                </c:pt>
                <c:pt idx="99">
                  <c:v>49</c:v>
                </c:pt>
                <c:pt idx="100">
                  <c:v>75</c:v>
                </c:pt>
                <c:pt idx="101">
                  <c:v>49</c:v>
                </c:pt>
                <c:pt idx="102">
                  <c:v>59</c:v>
                </c:pt>
                <c:pt idx="103">
                  <c:v>63</c:v>
                </c:pt>
                <c:pt idx="104">
                  <c:v>59</c:v>
                </c:pt>
                <c:pt idx="105">
                  <c:v>58</c:v>
                </c:pt>
                <c:pt idx="106">
                  <c:v>69</c:v>
                </c:pt>
                <c:pt idx="107">
                  <c:v>62</c:v>
                </c:pt>
                <c:pt idx="108">
                  <c:v>76</c:v>
                </c:pt>
                <c:pt idx="109">
                  <c:v>55</c:v>
                </c:pt>
                <c:pt idx="110">
                  <c:v>58</c:v>
                </c:pt>
                <c:pt idx="111">
                  <c:v>64</c:v>
                </c:pt>
                <c:pt idx="112">
                  <c:v>42</c:v>
                </c:pt>
                <c:pt idx="113">
                  <c:v>60</c:v>
                </c:pt>
                <c:pt idx="114">
                  <c:v>61</c:v>
                </c:pt>
                <c:pt idx="115">
                  <c:v>70</c:v>
                </c:pt>
                <c:pt idx="116">
                  <c:v>55</c:v>
                </c:pt>
                <c:pt idx="117">
                  <c:v>38</c:v>
                </c:pt>
                <c:pt idx="118">
                  <c:v>60</c:v>
                </c:pt>
                <c:pt idx="119">
                  <c:v>78</c:v>
                </c:pt>
                <c:pt idx="120">
                  <c:v>59</c:v>
                </c:pt>
                <c:pt idx="121">
                  <c:v>64</c:v>
                </c:pt>
                <c:pt idx="122">
                  <c:v>59</c:v>
                </c:pt>
                <c:pt idx="123">
                  <c:v>53</c:v>
                </c:pt>
                <c:pt idx="124">
                  <c:v>53</c:v>
                </c:pt>
                <c:pt idx="125">
                  <c:v>55</c:v>
                </c:pt>
                <c:pt idx="126">
                  <c:v>53</c:v>
                </c:pt>
                <c:pt idx="127">
                  <c:v>49</c:v>
                </c:pt>
                <c:pt idx="128">
                  <c:v>58</c:v>
                </c:pt>
                <c:pt idx="129">
                  <c:v>63</c:v>
                </c:pt>
                <c:pt idx="130">
                  <c:v>46</c:v>
                </c:pt>
                <c:pt idx="131">
                  <c:v>74</c:v>
                </c:pt>
                <c:pt idx="132">
                  <c:v>60</c:v>
                </c:pt>
                <c:pt idx="133">
                  <c:v>70</c:v>
                </c:pt>
                <c:pt idx="134">
                  <c:v>41</c:v>
                </c:pt>
                <c:pt idx="135">
                  <c:v>48</c:v>
                </c:pt>
                <c:pt idx="136">
                  <c:v>59</c:v>
                </c:pt>
                <c:pt idx="137">
                  <c:v>53</c:v>
                </c:pt>
                <c:pt idx="138">
                  <c:v>60</c:v>
                </c:pt>
                <c:pt idx="139">
                  <c:v>44</c:v>
                </c:pt>
                <c:pt idx="140">
                  <c:v>65</c:v>
                </c:pt>
                <c:pt idx="141">
                  <c:v>58</c:v>
                </c:pt>
                <c:pt idx="142">
                  <c:v>76</c:v>
                </c:pt>
                <c:pt idx="143">
                  <c:v>60</c:v>
                </c:pt>
                <c:pt idx="144">
                  <c:v>69</c:v>
                </c:pt>
                <c:pt idx="145">
                  <c:v>65</c:v>
                </c:pt>
                <c:pt idx="146">
                  <c:v>72</c:v>
                </c:pt>
                <c:pt idx="147">
                  <c:v>80</c:v>
                </c:pt>
                <c:pt idx="148">
                  <c:v>59</c:v>
                </c:pt>
                <c:pt idx="149">
                  <c:v>81</c:v>
                </c:pt>
              </c:numCache>
            </c:numRef>
          </c:xVal>
          <c:yVal>
            <c:numRef>
              <c:f>Sheet1!$B$2:$B$151</c:f>
              <c:numCache>
                <c:formatCode>General</c:formatCode>
                <c:ptCount val="150"/>
                <c:pt idx="0">
                  <c:v>188.24</c:v>
                </c:pt>
                <c:pt idx="1">
                  <c:v>304.89</c:v>
                </c:pt>
                <c:pt idx="2">
                  <c:v>304.99</c:v>
                </c:pt>
                <c:pt idx="3">
                  <c:v>283.99</c:v>
                </c:pt>
                <c:pt idx="4">
                  <c:v>316.20999999999998</c:v>
                </c:pt>
                <c:pt idx="5">
                  <c:v>263.32</c:v>
                </c:pt>
                <c:pt idx="6">
                  <c:v>315.87</c:v>
                </c:pt>
                <c:pt idx="7">
                  <c:v>201.52</c:v>
                </c:pt>
                <c:pt idx="8">
                  <c:v>295.5</c:v>
                </c:pt>
                <c:pt idx="9">
                  <c:v>318.52999999999997</c:v>
                </c:pt>
                <c:pt idx="10">
                  <c:v>278.77999999999997</c:v>
                </c:pt>
                <c:pt idx="11">
                  <c:v>254.34</c:v>
                </c:pt>
                <c:pt idx="12">
                  <c:v>253.79</c:v>
                </c:pt>
                <c:pt idx="13">
                  <c:v>310.97000000000003</c:v>
                </c:pt>
                <c:pt idx="14">
                  <c:v>215.79</c:v>
                </c:pt>
                <c:pt idx="15">
                  <c:v>248.34</c:v>
                </c:pt>
                <c:pt idx="16">
                  <c:v>299.66000000000003</c:v>
                </c:pt>
                <c:pt idx="17">
                  <c:v>220.72</c:v>
                </c:pt>
                <c:pt idx="18">
                  <c:v>319.58</c:v>
                </c:pt>
                <c:pt idx="19">
                  <c:v>280.95999999999998</c:v>
                </c:pt>
                <c:pt idx="20">
                  <c:v>259.73</c:v>
                </c:pt>
                <c:pt idx="21">
                  <c:v>254.5</c:v>
                </c:pt>
                <c:pt idx="22">
                  <c:v>181.99</c:v>
                </c:pt>
                <c:pt idx="23">
                  <c:v>256.8</c:v>
                </c:pt>
                <c:pt idx="24">
                  <c:v>258.54000000000002</c:v>
                </c:pt>
                <c:pt idx="25">
                  <c:v>203.91</c:v>
                </c:pt>
                <c:pt idx="26">
                  <c:v>280.52999999999997</c:v>
                </c:pt>
                <c:pt idx="27">
                  <c:v>244.72</c:v>
                </c:pt>
                <c:pt idx="28">
                  <c:v>231.56</c:v>
                </c:pt>
                <c:pt idx="29">
                  <c:v>251.03</c:v>
                </c:pt>
                <c:pt idx="30">
                  <c:v>268.89999999999998</c:v>
                </c:pt>
                <c:pt idx="31">
                  <c:v>290.88</c:v>
                </c:pt>
                <c:pt idx="32">
                  <c:v>255.45</c:v>
                </c:pt>
                <c:pt idx="33">
                  <c:v>282.11</c:v>
                </c:pt>
                <c:pt idx="34">
                  <c:v>313.17</c:v>
                </c:pt>
                <c:pt idx="35">
                  <c:v>315.62</c:v>
                </c:pt>
                <c:pt idx="36">
                  <c:v>290.75</c:v>
                </c:pt>
                <c:pt idx="37">
                  <c:v>179.35</c:v>
                </c:pt>
                <c:pt idx="38">
                  <c:v>295.35000000000002</c:v>
                </c:pt>
                <c:pt idx="39">
                  <c:v>212.32</c:v>
                </c:pt>
                <c:pt idx="40">
                  <c:v>306.64</c:v>
                </c:pt>
                <c:pt idx="41">
                  <c:v>198.63</c:v>
                </c:pt>
                <c:pt idx="42">
                  <c:v>297.26</c:v>
                </c:pt>
                <c:pt idx="43">
                  <c:v>274.37</c:v>
                </c:pt>
                <c:pt idx="44">
                  <c:v>224.85</c:v>
                </c:pt>
                <c:pt idx="45">
                  <c:v>278.45</c:v>
                </c:pt>
                <c:pt idx="46">
                  <c:v>268.98</c:v>
                </c:pt>
                <c:pt idx="47">
                  <c:v>302.73</c:v>
                </c:pt>
                <c:pt idx="48">
                  <c:v>253.92</c:v>
                </c:pt>
                <c:pt idx="49">
                  <c:v>299.79000000000002</c:v>
                </c:pt>
                <c:pt idx="50">
                  <c:v>255.84</c:v>
                </c:pt>
                <c:pt idx="51">
                  <c:v>205.05</c:v>
                </c:pt>
                <c:pt idx="52">
                  <c:v>321.05</c:v>
                </c:pt>
                <c:pt idx="53">
                  <c:v>261.07</c:v>
                </c:pt>
                <c:pt idx="54">
                  <c:v>209.31</c:v>
                </c:pt>
                <c:pt idx="55">
                  <c:v>259.45</c:v>
                </c:pt>
                <c:pt idx="56">
                  <c:v>209.45</c:v>
                </c:pt>
                <c:pt idx="57">
                  <c:v>205.54</c:v>
                </c:pt>
                <c:pt idx="58">
                  <c:v>323.60000000000002</c:v>
                </c:pt>
                <c:pt idx="59">
                  <c:v>278.02</c:v>
                </c:pt>
                <c:pt idx="60">
                  <c:v>238.45</c:v>
                </c:pt>
                <c:pt idx="61">
                  <c:v>219.23</c:v>
                </c:pt>
                <c:pt idx="62">
                  <c:v>339.11</c:v>
                </c:pt>
                <c:pt idx="63">
                  <c:v>214.62</c:v>
                </c:pt>
                <c:pt idx="64">
                  <c:v>242.81</c:v>
                </c:pt>
                <c:pt idx="65">
                  <c:v>274.19</c:v>
                </c:pt>
                <c:pt idx="66">
                  <c:v>290.19</c:v>
                </c:pt>
                <c:pt idx="67">
                  <c:v>290.62</c:v>
                </c:pt>
                <c:pt idx="68">
                  <c:v>297.82</c:v>
                </c:pt>
                <c:pt idx="69">
                  <c:v>258.05</c:v>
                </c:pt>
                <c:pt idx="70">
                  <c:v>262.68</c:v>
                </c:pt>
                <c:pt idx="71">
                  <c:v>305.64999999999998</c:v>
                </c:pt>
                <c:pt idx="72">
                  <c:v>301.14999999999998</c:v>
                </c:pt>
                <c:pt idx="73">
                  <c:v>286.05</c:v>
                </c:pt>
                <c:pt idx="74">
                  <c:v>372.7</c:v>
                </c:pt>
                <c:pt idx="75">
                  <c:v>359.45</c:v>
                </c:pt>
                <c:pt idx="76">
                  <c:v>279.14999999999998</c:v>
                </c:pt>
                <c:pt idx="77">
                  <c:v>224.78</c:v>
                </c:pt>
                <c:pt idx="78">
                  <c:v>292.83</c:v>
                </c:pt>
                <c:pt idx="79">
                  <c:v>253.61</c:v>
                </c:pt>
                <c:pt idx="80">
                  <c:v>278.5</c:v>
                </c:pt>
                <c:pt idx="81">
                  <c:v>230.16</c:v>
                </c:pt>
                <c:pt idx="82">
                  <c:v>209.75</c:v>
                </c:pt>
                <c:pt idx="83">
                  <c:v>237.57</c:v>
                </c:pt>
                <c:pt idx="84">
                  <c:v>201.13</c:v>
                </c:pt>
                <c:pt idx="85">
                  <c:v>202.3</c:v>
                </c:pt>
                <c:pt idx="86">
                  <c:v>255.45</c:v>
                </c:pt>
                <c:pt idx="87">
                  <c:v>225.63</c:v>
                </c:pt>
                <c:pt idx="88">
                  <c:v>285.83</c:v>
                </c:pt>
                <c:pt idx="89">
                  <c:v>328.84</c:v>
                </c:pt>
                <c:pt idx="90">
                  <c:v>286.69</c:v>
                </c:pt>
                <c:pt idx="91">
                  <c:v>212.78</c:v>
                </c:pt>
                <c:pt idx="92">
                  <c:v>324.02999999999997</c:v>
                </c:pt>
                <c:pt idx="93">
                  <c:v>272.58999999999997</c:v>
                </c:pt>
                <c:pt idx="94">
                  <c:v>272.98</c:v>
                </c:pt>
                <c:pt idx="95">
                  <c:v>281.89999999999998</c:v>
                </c:pt>
                <c:pt idx="96">
                  <c:v>212.01</c:v>
                </c:pt>
                <c:pt idx="97">
                  <c:v>322.49</c:v>
                </c:pt>
                <c:pt idx="98">
                  <c:v>262.41000000000003</c:v>
                </c:pt>
                <c:pt idx="99">
                  <c:v>292.43</c:v>
                </c:pt>
                <c:pt idx="100">
                  <c:v>352.52</c:v>
                </c:pt>
                <c:pt idx="101">
                  <c:v>286.22000000000003</c:v>
                </c:pt>
                <c:pt idx="102">
                  <c:v>279.14999999999998</c:v>
                </c:pt>
                <c:pt idx="103">
                  <c:v>292.5</c:v>
                </c:pt>
                <c:pt idx="104">
                  <c:v>298.82</c:v>
                </c:pt>
                <c:pt idx="105">
                  <c:v>303.49</c:v>
                </c:pt>
                <c:pt idx="106">
                  <c:v>279.99</c:v>
                </c:pt>
                <c:pt idx="107">
                  <c:v>225.89</c:v>
                </c:pt>
                <c:pt idx="108">
                  <c:v>257.83999999999997</c:v>
                </c:pt>
                <c:pt idx="109">
                  <c:v>219.79</c:v>
                </c:pt>
                <c:pt idx="110">
                  <c:v>230.49</c:v>
                </c:pt>
                <c:pt idx="111">
                  <c:v>250.28</c:v>
                </c:pt>
                <c:pt idx="112">
                  <c:v>251.44</c:v>
                </c:pt>
                <c:pt idx="113">
                  <c:v>309.87</c:v>
                </c:pt>
                <c:pt idx="114">
                  <c:v>226.83</c:v>
                </c:pt>
                <c:pt idx="115">
                  <c:v>180.32</c:v>
                </c:pt>
                <c:pt idx="116">
                  <c:v>301.32</c:v>
                </c:pt>
                <c:pt idx="117">
                  <c:v>192.63</c:v>
                </c:pt>
                <c:pt idx="118">
                  <c:v>337.91</c:v>
                </c:pt>
                <c:pt idx="119">
                  <c:v>312.57</c:v>
                </c:pt>
                <c:pt idx="120">
                  <c:v>360.24</c:v>
                </c:pt>
                <c:pt idx="121">
                  <c:v>223.94</c:v>
                </c:pt>
                <c:pt idx="122">
                  <c:v>269.02</c:v>
                </c:pt>
                <c:pt idx="123">
                  <c:v>303.27999999999997</c:v>
                </c:pt>
                <c:pt idx="124">
                  <c:v>254.32</c:v>
                </c:pt>
                <c:pt idx="125">
                  <c:v>276.83999999999997</c:v>
                </c:pt>
                <c:pt idx="126">
                  <c:v>204.96</c:v>
                </c:pt>
                <c:pt idx="127">
                  <c:v>265.98</c:v>
                </c:pt>
                <c:pt idx="128">
                  <c:v>254.62</c:v>
                </c:pt>
                <c:pt idx="129">
                  <c:v>309.24</c:v>
                </c:pt>
                <c:pt idx="130">
                  <c:v>262.44</c:v>
                </c:pt>
                <c:pt idx="131">
                  <c:v>324.89</c:v>
                </c:pt>
                <c:pt idx="132">
                  <c:v>306.95999999999998</c:v>
                </c:pt>
                <c:pt idx="133">
                  <c:v>327.97</c:v>
                </c:pt>
                <c:pt idx="134">
                  <c:v>218</c:v>
                </c:pt>
                <c:pt idx="135">
                  <c:v>249.08</c:v>
                </c:pt>
                <c:pt idx="136">
                  <c:v>289.11</c:v>
                </c:pt>
                <c:pt idx="137">
                  <c:v>294.35000000000002</c:v>
                </c:pt>
                <c:pt idx="138">
                  <c:v>290.44</c:v>
                </c:pt>
                <c:pt idx="139">
                  <c:v>287.45</c:v>
                </c:pt>
                <c:pt idx="140">
                  <c:v>277.70999999999998</c:v>
                </c:pt>
                <c:pt idx="141">
                  <c:v>267.20999999999998</c:v>
                </c:pt>
                <c:pt idx="142">
                  <c:v>311.81</c:v>
                </c:pt>
                <c:pt idx="143">
                  <c:v>271.93</c:v>
                </c:pt>
                <c:pt idx="144">
                  <c:v>385.03</c:v>
                </c:pt>
                <c:pt idx="145">
                  <c:v>220.19</c:v>
                </c:pt>
                <c:pt idx="146">
                  <c:v>304.07</c:v>
                </c:pt>
                <c:pt idx="147">
                  <c:v>330.5</c:v>
                </c:pt>
                <c:pt idx="148">
                  <c:v>257.37</c:v>
                </c:pt>
                <c:pt idx="149">
                  <c:v>313.64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DC-B34D-AA86-35B654272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64656"/>
        <c:axId val="1719291343"/>
      </c:scatterChart>
      <c:valAx>
        <c:axId val="136696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 (in $1000)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291343"/>
        <c:crosses val="autoZero"/>
        <c:crossBetween val="midCat"/>
      </c:valAx>
      <c:valAx>
        <c:axId val="171929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</a:t>
                </a:r>
                <a:r>
                  <a:rPr lang="en-US" baseline="0"/>
                  <a:t> spent on food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6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20320</xdr:rowOff>
    </xdr:from>
    <xdr:to>
      <xdr:col>11</xdr:col>
      <xdr:colOff>731520</xdr:colOff>
      <xdr:row>29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6AF1AA-A026-D13D-0147-DF5CCF196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zoomScale="125" workbookViewId="0">
      <selection activeCell="D48" sqref="D48"/>
    </sheetView>
  </sheetViews>
  <sheetFormatPr baseColWidth="10" defaultColWidth="8.83203125" defaultRowHeight="13" x14ac:dyDescent="0.15"/>
  <cols>
    <col min="1" max="2" width="9.1640625" style="1" customWidth="1"/>
    <col min="4" max="4" width="12.1640625" bestFit="1" customWidth="1"/>
    <col min="5" max="5" width="17.6640625" bestFit="1" customWidth="1"/>
    <col min="6" max="6" width="12.1640625" bestFit="1" customWidth="1"/>
    <col min="7" max="7" width="12.83203125" bestFit="1" customWidth="1"/>
    <col min="8" max="8" width="12.1640625" bestFit="1" customWidth="1"/>
    <col min="9" max="9" width="12.33203125" bestFit="1" customWidth="1"/>
    <col min="10" max="10" width="12.5" bestFit="1" customWidth="1"/>
    <col min="11" max="13" width="12.1640625" bestFit="1" customWidth="1"/>
  </cols>
  <sheetData>
    <row r="1" spans="1:9" x14ac:dyDescent="0.15">
      <c r="A1" s="2" t="s">
        <v>0</v>
      </c>
      <c r="B1" s="2" t="s">
        <v>1</v>
      </c>
      <c r="C1" s="6" t="s">
        <v>25</v>
      </c>
      <c r="D1" s="6" t="s">
        <v>26</v>
      </c>
      <c r="E1" s="6" t="s">
        <v>7</v>
      </c>
      <c r="F1" s="6" t="s">
        <v>27</v>
      </c>
      <c r="G1" s="6" t="s">
        <v>28</v>
      </c>
      <c r="H1" s="6" t="s">
        <v>29</v>
      </c>
      <c r="I1" s="6" t="s">
        <v>30</v>
      </c>
    </row>
    <row r="2" spans="1:9" x14ac:dyDescent="0.15">
      <c r="A2" s="1">
        <v>53</v>
      </c>
      <c r="B2" s="1">
        <v>188.24</v>
      </c>
      <c r="C2">
        <f>AVERAGE(B2:B151)</f>
        <v>270.25513333333339</v>
      </c>
      <c r="D2">
        <f>_xlfn.STDEV.S(B2:B151)</f>
        <v>42.393933682418727</v>
      </c>
      <c r="E2" cm="1">
        <f t="array" ref="E2">_xlfn.STDEV.S(B2:B151/SQRT(150))</f>
        <v>3.4614501903770898</v>
      </c>
      <c r="F2" s="6">
        <f>_xlfn.T.INV.2T(0.05, COUNT(B2:B151)-1)</f>
        <v>1.976013177689196</v>
      </c>
      <c r="G2" s="6">
        <f>F2*E2</f>
        <v>6.8398711900999061</v>
      </c>
      <c r="H2">
        <f>C2-G2</f>
        <v>263.41526214323346</v>
      </c>
      <c r="I2">
        <f>C2+G2</f>
        <v>277.09500452343332</v>
      </c>
    </row>
    <row r="3" spans="1:9" x14ac:dyDescent="0.15">
      <c r="A3" s="1">
        <v>47</v>
      </c>
      <c r="B3" s="1">
        <v>304.89</v>
      </c>
    </row>
    <row r="4" spans="1:9" x14ac:dyDescent="0.15">
      <c r="A4" s="1">
        <v>59</v>
      </c>
      <c r="B4" s="1">
        <v>304.99</v>
      </c>
    </row>
    <row r="5" spans="1:9" x14ac:dyDescent="0.15">
      <c r="A5" s="1">
        <v>44</v>
      </c>
      <c r="B5" s="1">
        <v>283.99</v>
      </c>
    </row>
    <row r="6" spans="1:9" x14ac:dyDescent="0.15">
      <c r="A6" s="1">
        <v>87</v>
      </c>
      <c r="B6" s="1">
        <v>316.20999999999998</v>
      </c>
    </row>
    <row r="7" spans="1:9" x14ac:dyDescent="0.15">
      <c r="A7" s="1">
        <v>56</v>
      </c>
      <c r="B7" s="1">
        <v>263.32</v>
      </c>
    </row>
    <row r="8" spans="1:9" x14ac:dyDescent="0.15">
      <c r="A8" s="1">
        <v>62</v>
      </c>
      <c r="B8" s="1">
        <v>315.87</v>
      </c>
    </row>
    <row r="9" spans="1:9" x14ac:dyDescent="0.15">
      <c r="A9" s="1">
        <v>60</v>
      </c>
      <c r="B9" s="1">
        <v>201.52</v>
      </c>
    </row>
    <row r="10" spans="1:9" x14ac:dyDescent="0.15">
      <c r="A10" s="1">
        <v>70</v>
      </c>
      <c r="B10" s="1">
        <v>295.5</v>
      </c>
    </row>
    <row r="11" spans="1:9" x14ac:dyDescent="0.15">
      <c r="A11" s="1">
        <v>85</v>
      </c>
      <c r="B11" s="1">
        <v>318.52999999999997</v>
      </c>
    </row>
    <row r="12" spans="1:9" x14ac:dyDescent="0.15">
      <c r="A12" s="1">
        <v>63</v>
      </c>
      <c r="B12" s="1">
        <v>278.77999999999997</v>
      </c>
    </row>
    <row r="13" spans="1:9" x14ac:dyDescent="0.15">
      <c r="A13" s="1">
        <v>57</v>
      </c>
      <c r="B13" s="1">
        <v>254.34</v>
      </c>
    </row>
    <row r="14" spans="1:9" x14ac:dyDescent="0.15">
      <c r="A14" s="1">
        <v>59</v>
      </c>
      <c r="B14" s="1">
        <v>253.79</v>
      </c>
    </row>
    <row r="15" spans="1:9" x14ac:dyDescent="0.15">
      <c r="A15" s="1">
        <v>64</v>
      </c>
      <c r="B15" s="1">
        <v>310.97000000000003</v>
      </c>
    </row>
    <row r="16" spans="1:9" x14ac:dyDescent="0.15">
      <c r="A16" s="1">
        <v>45</v>
      </c>
      <c r="B16" s="1">
        <v>215.79</v>
      </c>
    </row>
    <row r="17" spans="1:10" x14ac:dyDescent="0.15">
      <c r="A17" s="1">
        <v>62</v>
      </c>
      <c r="B17" s="1">
        <v>248.34</v>
      </c>
    </row>
    <row r="18" spans="1:10" x14ac:dyDescent="0.15">
      <c r="A18" s="1">
        <v>63</v>
      </c>
      <c r="B18" s="1">
        <v>299.66000000000003</v>
      </c>
    </row>
    <row r="19" spans="1:10" x14ac:dyDescent="0.15">
      <c r="A19" s="1">
        <v>55</v>
      </c>
      <c r="B19" s="1">
        <v>220.72</v>
      </c>
    </row>
    <row r="20" spans="1:10" x14ac:dyDescent="0.15">
      <c r="A20" s="1">
        <v>77</v>
      </c>
      <c r="B20" s="1">
        <v>319.58</v>
      </c>
    </row>
    <row r="21" spans="1:10" x14ac:dyDescent="0.15">
      <c r="A21" s="1">
        <v>52</v>
      </c>
      <c r="B21" s="1">
        <v>280.95999999999998</v>
      </c>
    </row>
    <row r="22" spans="1:10" ht="14" thickBot="1" x14ac:dyDescent="0.2">
      <c r="A22" s="1">
        <v>72</v>
      </c>
      <c r="B22" s="1">
        <v>259.73</v>
      </c>
    </row>
    <row r="23" spans="1:10" x14ac:dyDescent="0.15">
      <c r="A23" s="1">
        <v>64</v>
      </c>
      <c r="B23" s="1">
        <v>254.5</v>
      </c>
      <c r="E23" s="5"/>
      <c r="F23" s="5"/>
    </row>
    <row r="24" spans="1:10" x14ac:dyDescent="0.15">
      <c r="A24" s="1">
        <v>68</v>
      </c>
      <c r="B24" s="1">
        <v>181.99</v>
      </c>
    </row>
    <row r="25" spans="1:10" x14ac:dyDescent="0.15">
      <c r="A25" s="1">
        <v>54</v>
      </c>
      <c r="B25" s="1">
        <v>256.8</v>
      </c>
    </row>
    <row r="26" spans="1:10" x14ac:dyDescent="0.15">
      <c r="A26" s="1">
        <v>63</v>
      </c>
      <c r="B26" s="1">
        <v>258.54000000000002</v>
      </c>
    </row>
    <row r="27" spans="1:10" x14ac:dyDescent="0.15">
      <c r="A27" s="1">
        <v>57</v>
      </c>
      <c r="B27" s="1">
        <v>203.91</v>
      </c>
    </row>
    <row r="28" spans="1:10" ht="14" thickBot="1" x14ac:dyDescent="0.2">
      <c r="A28" s="1">
        <v>67</v>
      </c>
      <c r="B28" s="1">
        <v>280.52999999999997</v>
      </c>
      <c r="E28" s="3"/>
      <c r="F28" s="3"/>
    </row>
    <row r="29" spans="1:10" x14ac:dyDescent="0.15">
      <c r="A29" s="1">
        <v>47</v>
      </c>
      <c r="B29" s="1">
        <v>244.72</v>
      </c>
    </row>
    <row r="30" spans="1:10" ht="14" thickBot="1" x14ac:dyDescent="0.2">
      <c r="A30" s="1">
        <v>58</v>
      </c>
      <c r="B30" s="1">
        <v>231.56</v>
      </c>
    </row>
    <row r="31" spans="1:10" x14ac:dyDescent="0.15">
      <c r="A31" s="1">
        <v>58</v>
      </c>
      <c r="B31" s="1">
        <v>251.03</v>
      </c>
      <c r="E31" s="4"/>
      <c r="F31" s="4"/>
      <c r="G31" s="4"/>
      <c r="H31" s="4"/>
      <c r="I31" s="4"/>
      <c r="J31" s="4"/>
    </row>
    <row r="32" spans="1:10" x14ac:dyDescent="0.15">
      <c r="A32" s="1">
        <v>58</v>
      </c>
      <c r="B32" s="1">
        <v>268.89999999999998</v>
      </c>
    </row>
    <row r="33" spans="1:13" x14ac:dyDescent="0.15">
      <c r="A33" s="1">
        <v>57</v>
      </c>
      <c r="B33" s="1">
        <v>290.88</v>
      </c>
    </row>
    <row r="34" spans="1:13" ht="14" thickBot="1" x14ac:dyDescent="0.2">
      <c r="A34" s="1">
        <v>66</v>
      </c>
      <c r="B34" s="1">
        <v>255.45</v>
      </c>
      <c r="E34" s="3"/>
      <c r="F34" s="3"/>
      <c r="G34" s="3"/>
      <c r="H34" s="3"/>
      <c r="I34" s="3"/>
      <c r="J34" s="3"/>
    </row>
    <row r="35" spans="1:13" ht="14" thickBot="1" x14ac:dyDescent="0.2">
      <c r="A35" s="1">
        <v>67</v>
      </c>
      <c r="B35" s="1">
        <v>282.11</v>
      </c>
    </row>
    <row r="36" spans="1:13" x14ac:dyDescent="0.15">
      <c r="A36" s="1">
        <v>63</v>
      </c>
      <c r="B36" s="1">
        <v>313.17</v>
      </c>
      <c r="E36" s="8"/>
      <c r="F36" s="8"/>
      <c r="G36" s="8"/>
      <c r="H36" s="8"/>
      <c r="I36" s="8"/>
      <c r="J36" s="8"/>
      <c r="K36" s="8"/>
      <c r="L36" s="8"/>
      <c r="M36" s="8"/>
    </row>
    <row r="37" spans="1:13" x14ac:dyDescent="0.15">
      <c r="A37" s="1">
        <v>62</v>
      </c>
      <c r="B37" s="1">
        <v>315.62</v>
      </c>
      <c r="E37" s="9"/>
      <c r="F37" s="9"/>
      <c r="G37" s="9"/>
      <c r="H37" s="9"/>
      <c r="I37" s="9"/>
      <c r="J37" s="9"/>
      <c r="K37" s="9"/>
      <c r="L37" s="9"/>
      <c r="M37" s="9"/>
    </row>
    <row r="38" spans="1:13" ht="14" thickBot="1" x14ac:dyDescent="0.2">
      <c r="A38" s="1">
        <v>49</v>
      </c>
      <c r="B38" s="1">
        <v>290.75</v>
      </c>
      <c r="E38" s="7"/>
      <c r="F38" s="7"/>
      <c r="G38" s="7"/>
      <c r="H38" s="7"/>
      <c r="I38" s="7"/>
      <c r="J38" s="7"/>
      <c r="K38" s="7"/>
      <c r="L38" s="7"/>
      <c r="M38" s="7"/>
    </row>
    <row r="39" spans="1:13" x14ac:dyDescent="0.15">
      <c r="A39" s="1">
        <v>42</v>
      </c>
      <c r="B39" s="1">
        <v>179.35</v>
      </c>
    </row>
    <row r="40" spans="1:13" x14ac:dyDescent="0.15">
      <c r="A40" s="1">
        <v>70</v>
      </c>
      <c r="B40" s="1">
        <v>295.35000000000002</v>
      </c>
    </row>
    <row r="41" spans="1:13" x14ac:dyDescent="0.15">
      <c r="A41" s="1">
        <v>42</v>
      </c>
      <c r="B41" s="1">
        <v>212.32</v>
      </c>
      <c r="E41" t="s">
        <v>2</v>
      </c>
    </row>
    <row r="42" spans="1:13" ht="14" thickBot="1" x14ac:dyDescent="0.2">
      <c r="A42" s="1">
        <v>69</v>
      </c>
      <c r="B42" s="1">
        <v>306.64</v>
      </c>
    </row>
    <row r="43" spans="1:13" x14ac:dyDescent="0.15">
      <c r="A43" s="1">
        <v>28</v>
      </c>
      <c r="B43" s="1">
        <v>198.63</v>
      </c>
      <c r="E43" s="5" t="s">
        <v>3</v>
      </c>
      <c r="F43" s="5"/>
    </row>
    <row r="44" spans="1:13" x14ac:dyDescent="0.15">
      <c r="A44" s="1">
        <v>53</v>
      </c>
      <c r="B44" s="1">
        <v>297.26</v>
      </c>
      <c r="E44" t="s">
        <v>4</v>
      </c>
      <c r="F44">
        <v>0.49585337415109032</v>
      </c>
    </row>
    <row r="45" spans="1:13" x14ac:dyDescent="0.15">
      <c r="A45" s="1">
        <v>59</v>
      </c>
      <c r="B45" s="1">
        <v>274.37</v>
      </c>
      <c r="E45" t="s">
        <v>5</v>
      </c>
      <c r="F45">
        <v>0.24587056865702114</v>
      </c>
    </row>
    <row r="46" spans="1:13" x14ac:dyDescent="0.15">
      <c r="A46" s="1">
        <v>44</v>
      </c>
      <c r="B46" s="1">
        <v>224.85</v>
      </c>
      <c r="E46" t="s">
        <v>6</v>
      </c>
      <c r="F46">
        <v>0.24077509952632536</v>
      </c>
    </row>
    <row r="47" spans="1:13" x14ac:dyDescent="0.15">
      <c r="A47" s="1">
        <v>61</v>
      </c>
      <c r="B47" s="1">
        <v>278.45</v>
      </c>
      <c r="E47" t="s">
        <v>7</v>
      </c>
      <c r="F47">
        <v>36.939323514505872</v>
      </c>
    </row>
    <row r="48" spans="1:13" ht="14" thickBot="1" x14ac:dyDescent="0.2">
      <c r="A48" s="1">
        <v>54</v>
      </c>
      <c r="B48" s="1">
        <v>268.98</v>
      </c>
      <c r="E48" s="3" t="s">
        <v>8</v>
      </c>
      <c r="F48" s="3">
        <v>150</v>
      </c>
    </row>
    <row r="49" spans="1:13" x14ac:dyDescent="0.15">
      <c r="A49" s="1">
        <v>67</v>
      </c>
      <c r="B49" s="1">
        <v>302.73</v>
      </c>
    </row>
    <row r="50" spans="1:13" ht="14" thickBot="1" x14ac:dyDescent="0.2">
      <c r="A50" s="1">
        <v>55</v>
      </c>
      <c r="B50" s="1">
        <v>253.92</v>
      </c>
      <c r="E50" t="s">
        <v>9</v>
      </c>
    </row>
    <row r="51" spans="1:13" x14ac:dyDescent="0.15">
      <c r="A51" s="1">
        <v>56</v>
      </c>
      <c r="B51" s="1">
        <v>299.79000000000002</v>
      </c>
      <c r="E51" s="4"/>
      <c r="F51" s="4" t="s">
        <v>14</v>
      </c>
      <c r="G51" s="4" t="s">
        <v>15</v>
      </c>
      <c r="H51" s="4" t="s">
        <v>16</v>
      </c>
      <c r="I51" s="4" t="s">
        <v>17</v>
      </c>
      <c r="J51" s="4" t="s">
        <v>18</v>
      </c>
    </row>
    <row r="52" spans="1:13" x14ac:dyDescent="0.15">
      <c r="A52" s="1">
        <v>74</v>
      </c>
      <c r="B52" s="1">
        <v>255.84</v>
      </c>
      <c r="E52" t="s">
        <v>10</v>
      </c>
      <c r="F52">
        <v>1</v>
      </c>
      <c r="G52">
        <v>65841.580334352999</v>
      </c>
      <c r="H52">
        <v>65841.580334352999</v>
      </c>
      <c r="I52">
        <v>48.25278347303945</v>
      </c>
      <c r="J52">
        <v>1.1047043543419872E-10</v>
      </c>
    </row>
    <row r="53" spans="1:13" x14ac:dyDescent="0.15">
      <c r="A53" s="1">
        <v>33</v>
      </c>
      <c r="B53" s="1">
        <v>205.05</v>
      </c>
      <c r="E53" t="s">
        <v>11</v>
      </c>
      <c r="F53">
        <v>148</v>
      </c>
      <c r="G53">
        <v>201948.01601298034</v>
      </c>
      <c r="H53">
        <v>1364.5136217093266</v>
      </c>
    </row>
    <row r="54" spans="1:13" ht="14" thickBot="1" x14ac:dyDescent="0.2">
      <c r="A54" s="1">
        <v>67</v>
      </c>
      <c r="B54" s="1">
        <v>321.05</v>
      </c>
      <c r="E54" s="3" t="s">
        <v>12</v>
      </c>
      <c r="F54" s="3">
        <v>149</v>
      </c>
      <c r="G54" s="3">
        <v>267789.59634733334</v>
      </c>
      <c r="H54" s="3"/>
      <c r="I54" s="3"/>
      <c r="J54" s="3"/>
    </row>
    <row r="55" spans="1:13" ht="14" thickBot="1" x14ac:dyDescent="0.2">
      <c r="A55" s="1">
        <v>55</v>
      </c>
      <c r="B55" s="1">
        <v>261.07</v>
      </c>
    </row>
    <row r="56" spans="1:13" x14ac:dyDescent="0.15">
      <c r="A56" s="1">
        <v>50</v>
      </c>
      <c r="B56" s="1">
        <v>209.31</v>
      </c>
      <c r="E56" s="4"/>
      <c r="F56" s="4" t="s">
        <v>19</v>
      </c>
      <c r="G56" s="4" t="s">
        <v>7</v>
      </c>
      <c r="H56" s="4" t="s">
        <v>20</v>
      </c>
      <c r="I56" s="4" t="s">
        <v>21</v>
      </c>
      <c r="J56" s="4" t="s">
        <v>22</v>
      </c>
      <c r="K56" s="4" t="s">
        <v>23</v>
      </c>
      <c r="L56" s="4" t="s">
        <v>24</v>
      </c>
      <c r="M56" s="4"/>
    </row>
    <row r="57" spans="1:13" x14ac:dyDescent="0.15">
      <c r="A57" s="1">
        <v>52</v>
      </c>
      <c r="B57" s="1">
        <v>259.45</v>
      </c>
      <c r="E57" t="s">
        <v>13</v>
      </c>
      <c r="F57">
        <v>153.89859458894904</v>
      </c>
      <c r="G57">
        <v>17.019940554755788</v>
      </c>
      <c r="H57">
        <v>9.0422521802490081</v>
      </c>
      <c r="I57">
        <v>7.9447341869837373E-16</v>
      </c>
      <c r="J57">
        <v>120.26510721872735</v>
      </c>
      <c r="K57">
        <v>187.53208195917071</v>
      </c>
      <c r="L57">
        <f>(K57-J57)/2</f>
        <v>33.63348737022168</v>
      </c>
    </row>
    <row r="58" spans="1:13" ht="14" thickBot="1" x14ac:dyDescent="0.2">
      <c r="A58" s="1">
        <v>47</v>
      </c>
      <c r="B58" s="1">
        <v>209.45</v>
      </c>
      <c r="E58" s="3" t="s">
        <v>0</v>
      </c>
      <c r="F58" s="3">
        <v>1.958204960356519</v>
      </c>
      <c r="G58" s="3">
        <v>0.28190122361115266</v>
      </c>
      <c r="H58" s="3">
        <v>6.9464223506089384</v>
      </c>
      <c r="I58" s="3">
        <v>1.1047043543420156E-10</v>
      </c>
      <c r="J58" s="3">
        <v>1.4011336114012825</v>
      </c>
      <c r="K58" s="3">
        <v>2.5152763093117554</v>
      </c>
      <c r="L58">
        <f>(K58-J58)/2</f>
        <v>0.55707134895523647</v>
      </c>
      <c r="M58" s="3"/>
    </row>
    <row r="59" spans="1:13" x14ac:dyDescent="0.15">
      <c r="A59" s="1">
        <v>48</v>
      </c>
      <c r="B59" s="1">
        <v>205.54</v>
      </c>
    </row>
    <row r="60" spans="1:13" x14ac:dyDescent="0.15">
      <c r="A60" s="1">
        <v>59</v>
      </c>
      <c r="B60" s="1">
        <v>323.60000000000002</v>
      </c>
    </row>
    <row r="61" spans="1:13" x14ac:dyDescent="0.15">
      <c r="A61" s="1">
        <v>60</v>
      </c>
      <c r="B61" s="1">
        <v>278.02</v>
      </c>
    </row>
    <row r="62" spans="1:13" x14ac:dyDescent="0.15">
      <c r="A62" s="1">
        <v>50</v>
      </c>
      <c r="B62" s="1">
        <v>238.45</v>
      </c>
    </row>
    <row r="63" spans="1:13" x14ac:dyDescent="0.15">
      <c r="A63" s="1">
        <v>46</v>
      </c>
      <c r="B63" s="1">
        <v>219.23</v>
      </c>
    </row>
    <row r="64" spans="1:13" x14ac:dyDescent="0.15">
      <c r="A64" s="1">
        <v>70</v>
      </c>
      <c r="B64" s="1">
        <v>339.11</v>
      </c>
    </row>
    <row r="65" spans="1:2" x14ac:dyDescent="0.15">
      <c r="A65" s="1">
        <v>56</v>
      </c>
      <c r="B65" s="1">
        <v>214.62</v>
      </c>
    </row>
    <row r="66" spans="1:2" x14ac:dyDescent="0.15">
      <c r="A66" s="1">
        <v>53</v>
      </c>
      <c r="B66" s="1">
        <v>242.81</v>
      </c>
    </row>
    <row r="67" spans="1:2" x14ac:dyDescent="0.15">
      <c r="A67" s="1">
        <v>72</v>
      </c>
      <c r="B67" s="1">
        <v>274.19</v>
      </c>
    </row>
    <row r="68" spans="1:2" x14ac:dyDescent="0.15">
      <c r="A68" s="1">
        <v>70</v>
      </c>
      <c r="B68" s="1">
        <v>290.19</v>
      </c>
    </row>
    <row r="69" spans="1:2" x14ac:dyDescent="0.15">
      <c r="A69" s="1">
        <v>35</v>
      </c>
      <c r="B69" s="1">
        <v>290.62</v>
      </c>
    </row>
    <row r="70" spans="1:2" x14ac:dyDescent="0.15">
      <c r="A70" s="1">
        <v>58</v>
      </c>
      <c r="B70" s="1">
        <v>297.82</v>
      </c>
    </row>
    <row r="71" spans="1:2" x14ac:dyDescent="0.15">
      <c r="A71" s="1">
        <v>71</v>
      </c>
      <c r="B71" s="1">
        <v>258.05</v>
      </c>
    </row>
    <row r="72" spans="1:2" x14ac:dyDescent="0.15">
      <c r="A72" s="1">
        <v>53</v>
      </c>
      <c r="B72" s="1">
        <v>262.68</v>
      </c>
    </row>
    <row r="73" spans="1:2" x14ac:dyDescent="0.15">
      <c r="A73" s="1">
        <v>77</v>
      </c>
      <c r="B73" s="1">
        <v>305.64999999999998</v>
      </c>
    </row>
    <row r="74" spans="1:2" x14ac:dyDescent="0.15">
      <c r="A74" s="1">
        <v>68</v>
      </c>
      <c r="B74" s="1">
        <v>301.14999999999998</v>
      </c>
    </row>
    <row r="75" spans="1:2" x14ac:dyDescent="0.15">
      <c r="A75" s="1">
        <v>61</v>
      </c>
      <c r="B75" s="1">
        <v>286.05</v>
      </c>
    </row>
    <row r="76" spans="1:2" x14ac:dyDescent="0.15">
      <c r="A76" s="1">
        <v>77</v>
      </c>
      <c r="B76" s="1">
        <v>372.7</v>
      </c>
    </row>
    <row r="77" spans="1:2" x14ac:dyDescent="0.15">
      <c r="A77" s="1">
        <v>58</v>
      </c>
      <c r="B77" s="1">
        <v>359.45</v>
      </c>
    </row>
    <row r="78" spans="1:2" x14ac:dyDescent="0.15">
      <c r="A78" s="1">
        <v>57</v>
      </c>
      <c r="B78" s="1">
        <v>279.14999999999998</v>
      </c>
    </row>
    <row r="79" spans="1:2" x14ac:dyDescent="0.15">
      <c r="A79" s="1">
        <v>63</v>
      </c>
      <c r="B79" s="1">
        <v>224.78</v>
      </c>
    </row>
    <row r="80" spans="1:2" x14ac:dyDescent="0.15">
      <c r="A80" s="1">
        <v>52</v>
      </c>
      <c r="B80" s="1">
        <v>292.83</v>
      </c>
    </row>
    <row r="81" spans="1:2" x14ac:dyDescent="0.15">
      <c r="A81" s="1">
        <v>58</v>
      </c>
      <c r="B81" s="1">
        <v>253.61</v>
      </c>
    </row>
    <row r="82" spans="1:2" x14ac:dyDescent="0.15">
      <c r="A82" s="1">
        <v>64</v>
      </c>
      <c r="B82" s="1">
        <v>278.5</v>
      </c>
    </row>
    <row r="83" spans="1:2" x14ac:dyDescent="0.15">
      <c r="A83" s="1">
        <v>55</v>
      </c>
      <c r="B83" s="1">
        <v>230.16</v>
      </c>
    </row>
    <row r="84" spans="1:2" x14ac:dyDescent="0.15">
      <c r="A84" s="1">
        <v>62</v>
      </c>
      <c r="B84" s="1">
        <v>209.75</v>
      </c>
    </row>
    <row r="85" spans="1:2" x14ac:dyDescent="0.15">
      <c r="A85" s="1">
        <v>41</v>
      </c>
      <c r="B85" s="1">
        <v>237.57</v>
      </c>
    </row>
    <row r="86" spans="1:2" x14ac:dyDescent="0.15">
      <c r="A86" s="1">
        <v>45</v>
      </c>
      <c r="B86" s="1">
        <v>201.13</v>
      </c>
    </row>
    <row r="87" spans="1:2" x14ac:dyDescent="0.15">
      <c r="A87" s="1">
        <v>55</v>
      </c>
      <c r="B87" s="1">
        <v>202.3</v>
      </c>
    </row>
    <row r="88" spans="1:2" x14ac:dyDescent="0.15">
      <c r="A88" s="1">
        <v>58</v>
      </c>
      <c r="B88" s="1">
        <v>255.45</v>
      </c>
    </row>
    <row r="89" spans="1:2" x14ac:dyDescent="0.15">
      <c r="A89" s="1">
        <v>70</v>
      </c>
      <c r="B89" s="1">
        <v>225.63</v>
      </c>
    </row>
    <row r="90" spans="1:2" x14ac:dyDescent="0.15">
      <c r="A90" s="1">
        <v>41</v>
      </c>
      <c r="B90" s="1">
        <v>285.83</v>
      </c>
    </row>
    <row r="91" spans="1:2" x14ac:dyDescent="0.15">
      <c r="A91" s="1">
        <v>81</v>
      </c>
      <c r="B91" s="1">
        <v>328.84</v>
      </c>
    </row>
    <row r="92" spans="1:2" x14ac:dyDescent="0.15">
      <c r="A92" s="1">
        <v>52</v>
      </c>
      <c r="B92" s="1">
        <v>286.69</v>
      </c>
    </row>
    <row r="93" spans="1:2" x14ac:dyDescent="0.15">
      <c r="A93" s="1">
        <v>56</v>
      </c>
      <c r="B93" s="1">
        <v>212.78</v>
      </c>
    </row>
    <row r="94" spans="1:2" x14ac:dyDescent="0.15">
      <c r="A94" s="1">
        <v>76</v>
      </c>
      <c r="B94" s="1">
        <v>324.02999999999997</v>
      </c>
    </row>
    <row r="95" spans="1:2" x14ac:dyDescent="0.15">
      <c r="A95" s="1">
        <v>65</v>
      </c>
      <c r="B95" s="1">
        <v>272.58999999999997</v>
      </c>
    </row>
    <row r="96" spans="1:2" x14ac:dyDescent="0.15">
      <c r="A96" s="1">
        <v>67</v>
      </c>
      <c r="B96" s="1">
        <v>272.98</v>
      </c>
    </row>
    <row r="97" spans="1:2" x14ac:dyDescent="0.15">
      <c r="A97" s="1">
        <v>67</v>
      </c>
      <c r="B97" s="1">
        <v>281.89999999999998</v>
      </c>
    </row>
    <row r="98" spans="1:2" x14ac:dyDescent="0.15">
      <c r="A98" s="1">
        <v>45</v>
      </c>
      <c r="B98" s="1">
        <v>212.01</v>
      </c>
    </row>
    <row r="99" spans="1:2" x14ac:dyDescent="0.15">
      <c r="A99" s="1">
        <v>82</v>
      </c>
      <c r="B99" s="1">
        <v>322.49</v>
      </c>
    </row>
    <row r="100" spans="1:2" x14ac:dyDescent="0.15">
      <c r="A100" s="1">
        <v>65</v>
      </c>
      <c r="B100" s="1">
        <v>262.41000000000003</v>
      </c>
    </row>
    <row r="101" spans="1:2" x14ac:dyDescent="0.15">
      <c r="A101" s="1">
        <v>49</v>
      </c>
      <c r="B101" s="1">
        <v>292.43</v>
      </c>
    </row>
    <row r="102" spans="1:2" x14ac:dyDescent="0.15">
      <c r="A102" s="1">
        <v>75</v>
      </c>
      <c r="B102" s="1">
        <v>352.52</v>
      </c>
    </row>
    <row r="103" spans="1:2" x14ac:dyDescent="0.15">
      <c r="A103" s="1">
        <v>49</v>
      </c>
      <c r="B103" s="1">
        <v>286.22000000000003</v>
      </c>
    </row>
    <row r="104" spans="1:2" x14ac:dyDescent="0.15">
      <c r="A104" s="1">
        <v>59</v>
      </c>
      <c r="B104" s="1">
        <v>279.14999999999998</v>
      </c>
    </row>
    <row r="105" spans="1:2" x14ac:dyDescent="0.15">
      <c r="A105" s="1">
        <v>63</v>
      </c>
      <c r="B105" s="1">
        <v>292.5</v>
      </c>
    </row>
    <row r="106" spans="1:2" x14ac:dyDescent="0.15">
      <c r="A106" s="1">
        <v>59</v>
      </c>
      <c r="B106" s="1">
        <v>298.82</v>
      </c>
    </row>
    <row r="107" spans="1:2" x14ac:dyDescent="0.15">
      <c r="A107" s="1">
        <v>58</v>
      </c>
      <c r="B107" s="1">
        <v>303.49</v>
      </c>
    </row>
    <row r="108" spans="1:2" x14ac:dyDescent="0.15">
      <c r="A108" s="1">
        <v>69</v>
      </c>
      <c r="B108" s="1">
        <v>279.99</v>
      </c>
    </row>
    <row r="109" spans="1:2" x14ac:dyDescent="0.15">
      <c r="A109" s="1">
        <v>62</v>
      </c>
      <c r="B109" s="1">
        <v>225.89</v>
      </c>
    </row>
    <row r="110" spans="1:2" x14ac:dyDescent="0.15">
      <c r="A110" s="1">
        <v>76</v>
      </c>
      <c r="B110" s="1">
        <v>257.83999999999997</v>
      </c>
    </row>
    <row r="111" spans="1:2" x14ac:dyDescent="0.15">
      <c r="A111" s="1">
        <v>55</v>
      </c>
      <c r="B111" s="1">
        <v>219.79</v>
      </c>
    </row>
    <row r="112" spans="1:2" x14ac:dyDescent="0.15">
      <c r="A112" s="1">
        <v>58</v>
      </c>
      <c r="B112" s="1">
        <v>230.49</v>
      </c>
    </row>
    <row r="113" spans="1:2" x14ac:dyDescent="0.15">
      <c r="A113" s="1">
        <v>64</v>
      </c>
      <c r="B113" s="1">
        <v>250.28</v>
      </c>
    </row>
    <row r="114" spans="1:2" x14ac:dyDescent="0.15">
      <c r="A114" s="1">
        <v>42</v>
      </c>
      <c r="B114" s="1">
        <v>251.44</v>
      </c>
    </row>
    <row r="115" spans="1:2" x14ac:dyDescent="0.15">
      <c r="A115" s="1">
        <v>60</v>
      </c>
      <c r="B115" s="1">
        <v>309.87</v>
      </c>
    </row>
    <row r="116" spans="1:2" x14ac:dyDescent="0.15">
      <c r="A116" s="1">
        <v>61</v>
      </c>
      <c r="B116" s="1">
        <v>226.83</v>
      </c>
    </row>
    <row r="117" spans="1:2" x14ac:dyDescent="0.15">
      <c r="A117" s="1">
        <v>70</v>
      </c>
      <c r="B117" s="1">
        <v>180.32</v>
      </c>
    </row>
    <row r="118" spans="1:2" x14ac:dyDescent="0.15">
      <c r="A118" s="1">
        <v>55</v>
      </c>
      <c r="B118" s="1">
        <v>301.32</v>
      </c>
    </row>
    <row r="119" spans="1:2" x14ac:dyDescent="0.15">
      <c r="A119" s="1">
        <v>38</v>
      </c>
      <c r="B119" s="1">
        <v>192.63</v>
      </c>
    </row>
    <row r="120" spans="1:2" x14ac:dyDescent="0.15">
      <c r="A120" s="1">
        <v>60</v>
      </c>
      <c r="B120" s="1">
        <v>337.91</v>
      </c>
    </row>
    <row r="121" spans="1:2" x14ac:dyDescent="0.15">
      <c r="A121" s="1">
        <v>78</v>
      </c>
      <c r="B121" s="1">
        <v>312.57</v>
      </c>
    </row>
    <row r="122" spans="1:2" x14ac:dyDescent="0.15">
      <c r="A122" s="1">
        <v>59</v>
      </c>
      <c r="B122" s="1">
        <v>360.24</v>
      </c>
    </row>
    <row r="123" spans="1:2" x14ac:dyDescent="0.15">
      <c r="A123" s="1">
        <v>64</v>
      </c>
      <c r="B123" s="1">
        <v>223.94</v>
      </c>
    </row>
    <row r="124" spans="1:2" x14ac:dyDescent="0.15">
      <c r="A124" s="1">
        <v>59</v>
      </c>
      <c r="B124" s="1">
        <v>269.02</v>
      </c>
    </row>
    <row r="125" spans="1:2" x14ac:dyDescent="0.15">
      <c r="A125" s="1">
        <v>53</v>
      </c>
      <c r="B125" s="1">
        <v>303.27999999999997</v>
      </c>
    </row>
    <row r="126" spans="1:2" x14ac:dyDescent="0.15">
      <c r="A126" s="1">
        <v>53</v>
      </c>
      <c r="B126" s="1">
        <v>254.32</v>
      </c>
    </row>
    <row r="127" spans="1:2" x14ac:dyDescent="0.15">
      <c r="A127" s="1">
        <v>55</v>
      </c>
      <c r="B127" s="1">
        <v>276.83999999999997</v>
      </c>
    </row>
    <row r="128" spans="1:2" x14ac:dyDescent="0.15">
      <c r="A128" s="1">
        <v>53</v>
      </c>
      <c r="B128" s="1">
        <v>204.96</v>
      </c>
    </row>
    <row r="129" spans="1:2" x14ac:dyDescent="0.15">
      <c r="A129" s="1">
        <v>49</v>
      </c>
      <c r="B129" s="1">
        <v>265.98</v>
      </c>
    </row>
    <row r="130" spans="1:2" x14ac:dyDescent="0.15">
      <c r="A130" s="1">
        <v>58</v>
      </c>
      <c r="B130" s="1">
        <v>254.62</v>
      </c>
    </row>
    <row r="131" spans="1:2" x14ac:dyDescent="0.15">
      <c r="A131" s="1">
        <v>63</v>
      </c>
      <c r="B131" s="1">
        <v>309.24</v>
      </c>
    </row>
    <row r="132" spans="1:2" x14ac:dyDescent="0.15">
      <c r="A132" s="1">
        <v>46</v>
      </c>
      <c r="B132" s="1">
        <v>262.44</v>
      </c>
    </row>
    <row r="133" spans="1:2" x14ac:dyDescent="0.15">
      <c r="A133" s="1">
        <v>74</v>
      </c>
      <c r="B133" s="1">
        <v>324.89</v>
      </c>
    </row>
    <row r="134" spans="1:2" x14ac:dyDescent="0.15">
      <c r="A134" s="1">
        <v>60</v>
      </c>
      <c r="B134" s="1">
        <v>306.95999999999998</v>
      </c>
    </row>
    <row r="135" spans="1:2" x14ac:dyDescent="0.15">
      <c r="A135" s="1">
        <v>70</v>
      </c>
      <c r="B135" s="1">
        <v>327.97</v>
      </c>
    </row>
    <row r="136" spans="1:2" x14ac:dyDescent="0.15">
      <c r="A136" s="1">
        <v>41</v>
      </c>
      <c r="B136" s="1">
        <v>218</v>
      </c>
    </row>
    <row r="137" spans="1:2" x14ac:dyDescent="0.15">
      <c r="A137" s="1">
        <v>48</v>
      </c>
      <c r="B137" s="1">
        <v>249.08</v>
      </c>
    </row>
    <row r="138" spans="1:2" x14ac:dyDescent="0.15">
      <c r="A138" s="1">
        <v>59</v>
      </c>
      <c r="B138" s="1">
        <v>289.11</v>
      </c>
    </row>
    <row r="139" spans="1:2" x14ac:dyDescent="0.15">
      <c r="A139" s="1">
        <v>53</v>
      </c>
      <c r="B139" s="1">
        <v>294.35000000000002</v>
      </c>
    </row>
    <row r="140" spans="1:2" x14ac:dyDescent="0.15">
      <c r="A140" s="1">
        <v>60</v>
      </c>
      <c r="B140" s="1">
        <v>290.44</v>
      </c>
    </row>
    <row r="141" spans="1:2" x14ac:dyDescent="0.15">
      <c r="A141" s="1">
        <v>44</v>
      </c>
      <c r="B141" s="1">
        <v>287.45</v>
      </c>
    </row>
    <row r="142" spans="1:2" x14ac:dyDescent="0.15">
      <c r="A142" s="1">
        <v>65</v>
      </c>
      <c r="B142" s="1">
        <v>277.70999999999998</v>
      </c>
    </row>
    <row r="143" spans="1:2" x14ac:dyDescent="0.15">
      <c r="A143" s="1">
        <v>58</v>
      </c>
      <c r="B143" s="1">
        <v>267.20999999999998</v>
      </c>
    </row>
    <row r="144" spans="1:2" x14ac:dyDescent="0.15">
      <c r="A144" s="1">
        <v>76</v>
      </c>
      <c r="B144" s="1">
        <v>311.81</v>
      </c>
    </row>
    <row r="145" spans="1:2" x14ac:dyDescent="0.15">
      <c r="A145" s="1">
        <v>60</v>
      </c>
      <c r="B145" s="1">
        <v>271.93</v>
      </c>
    </row>
    <row r="146" spans="1:2" x14ac:dyDescent="0.15">
      <c r="A146" s="1">
        <v>69</v>
      </c>
      <c r="B146" s="1">
        <v>385.03</v>
      </c>
    </row>
    <row r="147" spans="1:2" x14ac:dyDescent="0.15">
      <c r="A147" s="1">
        <v>65</v>
      </c>
      <c r="B147" s="1">
        <v>220.19</v>
      </c>
    </row>
    <row r="148" spans="1:2" x14ac:dyDescent="0.15">
      <c r="A148" s="1">
        <v>72</v>
      </c>
      <c r="B148" s="1">
        <v>304.07</v>
      </c>
    </row>
    <row r="149" spans="1:2" x14ac:dyDescent="0.15">
      <c r="A149" s="1">
        <v>80</v>
      </c>
      <c r="B149" s="1">
        <v>330.5</v>
      </c>
    </row>
    <row r="150" spans="1:2" x14ac:dyDescent="0.15">
      <c r="A150" s="1">
        <v>59</v>
      </c>
      <c r="B150" s="1">
        <v>257.37</v>
      </c>
    </row>
    <row r="151" spans="1:2" x14ac:dyDescent="0.15">
      <c r="A151" s="1">
        <v>81</v>
      </c>
      <c r="B151" s="1">
        <v>313.64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Achara, Achara</cp:lastModifiedBy>
  <dcterms:created xsi:type="dcterms:W3CDTF">2004-06-18T06:29:03Z</dcterms:created>
  <dcterms:modified xsi:type="dcterms:W3CDTF">2025-09-18T17:24:20Z</dcterms:modified>
</cp:coreProperties>
</file>