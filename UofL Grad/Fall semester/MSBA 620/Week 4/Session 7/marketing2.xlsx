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4/Session 7/"/>
    </mc:Choice>
  </mc:AlternateContent>
  <xr:revisionPtr revIDLastSave="56" documentId="8_{C6E882E5-7E08-484F-B011-8D605FF4DA81}" xr6:coauthVersionLast="47" xr6:coauthVersionMax="47" xr10:uidLastSave="{ED54580F-BE4D-C042-9E3E-2FEDFC1877BF}"/>
  <bookViews>
    <workbookView xWindow="-100" yWindow="780" windowWidth="32240" windowHeight="19540" firstSheet="1" activeTab="1" xr2:uid="{00000000-000D-0000-FFFF-FFFF00000000}"/>
  </bookViews>
  <sheets>
    <sheet name="marketing" sheetId="1" r:id="rId1"/>
    <sheet name="marketing (2)" sheetId="3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J2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K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" i="3"/>
  <c r="P20" i="1"/>
  <c r="P19" i="1"/>
</calcChain>
</file>

<file path=xl/sharedStrings.xml><?xml version="1.0" encoding="utf-8"?>
<sst xmlns="http://schemas.openxmlformats.org/spreadsheetml/2006/main" count="472" uniqueCount="40">
  <si>
    <t>Experiment</t>
  </si>
  <si>
    <t>YouTube</t>
  </si>
  <si>
    <t>Facebook</t>
  </si>
  <si>
    <t>Newspaper</t>
  </si>
  <si>
    <t>Market</t>
  </si>
  <si>
    <t>Sales</t>
  </si>
  <si>
    <t>New York</t>
  </si>
  <si>
    <t>Atlanta</t>
  </si>
  <si>
    <t>SUMMARY OUTPUT</t>
  </si>
  <si>
    <t>Regression Statistics</t>
  </si>
  <si>
    <t>Multiple R</t>
  </si>
  <si>
    <t>Los Angeles</t>
  </si>
  <si>
    <t>R Square</t>
  </si>
  <si>
    <t>Adjusted R Square</t>
  </si>
  <si>
    <t>Standard Error</t>
  </si>
  <si>
    <t>Chicago</t>
  </si>
  <si>
    <t>Observations</t>
  </si>
  <si>
    <t>ANOVA</t>
  </si>
  <si>
    <t>Houston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</si>
  <si>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</si>
  <si>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</si>
  <si>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</si>
  <si>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</si>
  <si>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</si>
  <si>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</si>
  <si>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</si>
  <si>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</si>
  <si>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</si>
  <si>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</si>
  <si>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</si>
  <si>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</si>
  <si>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</si>
  <si>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marr</t>
  </si>
  <si>
    <t>Intercept</t>
  </si>
  <si>
    <t>atlanta</t>
  </si>
  <si>
    <t>los angeles</t>
  </si>
  <si>
    <t>chicago</t>
  </si>
  <si>
    <t>houston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</si>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</sst>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workbookViewId="0">
      <selection activeCell="C27" sqref="C27"/>
    </sheetView>
  </sheetViews>
  <sheetFormatPr baseColWidth="10" defaultColWidth="8.83203125" defaultRowHeight="15" x14ac:dyDescent="0.2"/>
  <cols>
    <col min="9" max="9" width="17.5" bestFit="1" customWidth="1"/>
    <col min="10" max="10" width="12" bestFit="1" customWidth="1"/>
    <col min="12" max="13" width="12" bestFit="1" customWidth="1"/>
    <col min="14" max="14" width="12.5" bestFit="1" customWidth="1"/>
    <col min="15" max="15" width="12" bestFit="1" customWidth="1"/>
    <col min="16" max="16" width="12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">
      <c r="A2">
        <v>1</v>
      </c>
      <c r="B2">
        <v>276.12</v>
      </c>
      <c r="C2">
        <v>45.36</v>
      </c>
      <c r="D2">
        <v>83.04</v>
      </c>
      <c r="E2" t="s">
        <v>6</v>
      </c>
      <c r="F2">
        <v>26.52</v>
      </c>
    </row>
    <row r="3" spans="1:14" x14ac:dyDescent="0.2">
      <c r="A3">
        <v>2</v>
      </c>
      <c r="B3">
        <v>53.4</v>
      </c>
      <c r="C3">
        <v>47.16</v>
      </c>
      <c r="D3">
        <v>54.12</v>
      </c>
      <c r="E3" t="s">
        <v>7</v>
      </c>
      <c r="F3">
        <v>12.48</v>
      </c>
      <c r="I3" t="s">
        <v>8</v>
      </c>
    </row>
    <row r="4" spans="1:14" ht="16" thickBot="1" x14ac:dyDescent="0.25">
      <c r="A4">
        <v>3</v>
      </c>
      <c r="B4">
        <v>20.64</v>
      </c>
      <c r="C4">
        <v>55.08</v>
      </c>
      <c r="D4">
        <v>83.16</v>
      </c>
      <c r="E4" t="s">
        <v>7</v>
      </c>
      <c r="F4">
        <v>11.16</v>
      </c>
    </row>
    <row r="5" spans="1:14" x14ac:dyDescent="0.2">
      <c r="A5">
        <v>4</v>
      </c>
      <c r="B5">
        <v>181.8</v>
      </c>
      <c r="C5">
        <v>49.56</v>
      </c>
      <c r="D5">
        <v>70.2</v>
      </c>
      <c r="E5" t="s">
        <v>6</v>
      </c>
      <c r="F5">
        <v>22.2</v>
      </c>
      <c r="I5" s="3" t="s">
        <v>9</v>
      </c>
      <c r="J5" s="3"/>
    </row>
    <row r="6" spans="1:14" x14ac:dyDescent="0.2">
      <c r="A6">
        <v>5</v>
      </c>
      <c r="B6">
        <v>216.96</v>
      </c>
      <c r="C6">
        <v>12.96</v>
      </c>
      <c r="D6">
        <v>70.08</v>
      </c>
      <c r="E6" t="s">
        <v>7</v>
      </c>
      <c r="F6">
        <v>15.48</v>
      </c>
      <c r="I6" t="s">
        <v>10</v>
      </c>
      <c r="J6">
        <v>0.22829902637616289</v>
      </c>
    </row>
    <row r="7" spans="1:14" x14ac:dyDescent="0.2">
      <c r="A7">
        <v>6</v>
      </c>
      <c r="B7">
        <v>10.44</v>
      </c>
      <c r="C7">
        <v>58.68</v>
      </c>
      <c r="D7">
        <v>90</v>
      </c>
      <c r="E7" t="s">
        <v>11</v>
      </c>
      <c r="F7">
        <v>8.64</v>
      </c>
      <c r="I7" t="s">
        <v>12</v>
      </c>
      <c r="J7">
        <v>5.2120445444303921E-2</v>
      </c>
    </row>
    <row r="8" spans="1:14" x14ac:dyDescent="0.2">
      <c r="A8">
        <v>7</v>
      </c>
      <c r="B8">
        <v>69</v>
      </c>
      <c r="C8">
        <v>39.36</v>
      </c>
      <c r="D8">
        <v>28.2</v>
      </c>
      <c r="E8" t="s">
        <v>7</v>
      </c>
      <c r="F8">
        <v>14.16</v>
      </c>
      <c r="I8" t="s">
        <v>13</v>
      </c>
      <c r="J8">
        <v>4.7333174966749901E-2</v>
      </c>
    </row>
    <row r="9" spans="1:14" x14ac:dyDescent="0.2">
      <c r="A9">
        <v>8</v>
      </c>
      <c r="B9">
        <v>144.24</v>
      </c>
      <c r="C9">
        <v>23.52</v>
      </c>
      <c r="D9">
        <v>13.92</v>
      </c>
      <c r="E9" t="s">
        <v>6</v>
      </c>
      <c r="F9">
        <v>15.84</v>
      </c>
      <c r="I9" t="s">
        <v>14</v>
      </c>
      <c r="J9">
        <v>6.1109764398242348</v>
      </c>
    </row>
    <row r="10" spans="1:14" ht="16" thickBot="1" x14ac:dyDescent="0.25">
      <c r="A10">
        <v>9</v>
      </c>
      <c r="B10">
        <v>10.32</v>
      </c>
      <c r="C10">
        <v>2.52</v>
      </c>
      <c r="D10">
        <v>1.2</v>
      </c>
      <c r="E10" t="s">
        <v>15</v>
      </c>
      <c r="F10">
        <v>5.76</v>
      </c>
      <c r="I10" s="1" t="s">
        <v>16</v>
      </c>
      <c r="J10" s="1">
        <v>200</v>
      </c>
    </row>
    <row r="11" spans="1:14" x14ac:dyDescent="0.2">
      <c r="A11">
        <v>10</v>
      </c>
      <c r="B11">
        <v>239.76</v>
      </c>
      <c r="C11">
        <v>3.12</v>
      </c>
      <c r="D11">
        <v>25.44</v>
      </c>
      <c r="E11" t="s">
        <v>15</v>
      </c>
      <c r="F11">
        <v>12.72</v>
      </c>
    </row>
    <row r="12" spans="1:14" ht="16" thickBot="1" x14ac:dyDescent="0.25">
      <c r="A12">
        <v>11</v>
      </c>
      <c r="B12">
        <v>79.319999999999993</v>
      </c>
      <c r="C12">
        <v>6.96</v>
      </c>
      <c r="D12">
        <v>29.04</v>
      </c>
      <c r="E12" t="s">
        <v>11</v>
      </c>
      <c r="F12">
        <v>10.32</v>
      </c>
      <c r="I12" t="s">
        <v>17</v>
      </c>
    </row>
    <row r="13" spans="1:14" x14ac:dyDescent="0.2">
      <c r="A13">
        <v>12</v>
      </c>
      <c r="B13">
        <v>257.64</v>
      </c>
      <c r="C13">
        <v>28.8</v>
      </c>
      <c r="D13">
        <v>4.8</v>
      </c>
      <c r="E13" t="s">
        <v>18</v>
      </c>
      <c r="F13">
        <v>20.88</v>
      </c>
      <c r="I13" s="2"/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</row>
    <row r="14" spans="1:14" x14ac:dyDescent="0.2">
      <c r="A14">
        <v>13</v>
      </c>
      <c r="B14">
        <v>28.56</v>
      </c>
      <c r="C14">
        <v>42.12</v>
      </c>
      <c r="D14">
        <v>79.08</v>
      </c>
      <c r="E14" t="s">
        <v>7</v>
      </c>
      <c r="F14">
        <v>11.04</v>
      </c>
      <c r="I14" t="s">
        <v>24</v>
      </c>
      <c r="J14">
        <v>1</v>
      </c>
      <c r="K14">
        <v>406.57565647879801</v>
      </c>
      <c r="L14">
        <v>406.57565647879801</v>
      </c>
      <c r="M14">
        <v>10.887299075471088</v>
      </c>
      <c r="N14">
        <v>1.1481958688883496E-3</v>
      </c>
    </row>
    <row r="15" spans="1:14" x14ac:dyDescent="0.2">
      <c r="A15">
        <v>14</v>
      </c>
      <c r="B15">
        <v>117</v>
      </c>
      <c r="C15">
        <v>9.1199999999999992</v>
      </c>
      <c r="D15">
        <v>8.64</v>
      </c>
      <c r="E15" t="s">
        <v>11</v>
      </c>
      <c r="F15">
        <v>11.64</v>
      </c>
      <c r="I15" t="s">
        <v>25</v>
      </c>
      <c r="J15">
        <v>198</v>
      </c>
      <c r="K15">
        <v>7394.1185435212019</v>
      </c>
      <c r="L15">
        <v>37.344033048086878</v>
      </c>
    </row>
    <row r="16" spans="1:14" ht="16" thickBot="1" x14ac:dyDescent="0.25">
      <c r="A16">
        <v>15</v>
      </c>
      <c r="B16">
        <v>244.92</v>
      </c>
      <c r="C16">
        <v>39.479999999999997</v>
      </c>
      <c r="D16">
        <v>55.2</v>
      </c>
      <c r="E16" t="s">
        <v>11</v>
      </c>
      <c r="F16">
        <v>22.8</v>
      </c>
      <c r="I16" s="1" t="s">
        <v>26</v>
      </c>
      <c r="J16" s="1">
        <v>199</v>
      </c>
      <c r="K16" s="1">
        <v>7800.6941999999999</v>
      </c>
      <c r="L16" s="1"/>
      <c r="M16" s="1"/>
      <c r="N16" s="1"/>
    </row>
    <row r="17" spans="1:16" ht="16" thickBot="1" x14ac:dyDescent="0.25">
      <c r="A17">
        <v>16</v>
      </c>
      <c r="B17">
        <v>234.48</v>
      </c>
      <c r="C17">
        <v>57.24</v>
      </c>
      <c r="D17">
        <v>63.48</v>
      </c>
      <c r="E17" t="s">
        <v>11</v>
      </c>
      <c r="F17">
        <v>26.88</v>
      </c>
    </row>
    <row r="18" spans="1:16" x14ac:dyDescent="0.2">
      <c r="A18">
        <v>17</v>
      </c>
      <c r="B18">
        <v>81.36</v>
      </c>
      <c r="C18">
        <v>43.92</v>
      </c>
      <c r="D18">
        <v>136.80000000000001</v>
      </c>
      <c r="E18" t="s">
        <v>7</v>
      </c>
      <c r="F18">
        <v>15</v>
      </c>
      <c r="I18" s="2"/>
      <c r="J18" s="2" t="s">
        <v>27</v>
      </c>
      <c r="K18" s="2" t="s">
        <v>14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32</v>
      </c>
    </row>
    <row r="19" spans="1:16" x14ac:dyDescent="0.2">
      <c r="A19">
        <v>18</v>
      </c>
      <c r="B19">
        <v>337.68</v>
      </c>
      <c r="C19">
        <v>47.52</v>
      </c>
      <c r="D19">
        <v>66.959999999999994</v>
      </c>
      <c r="E19" t="s">
        <v>18</v>
      </c>
      <c r="F19">
        <v>29.28</v>
      </c>
      <c r="I19" t="s">
        <v>33</v>
      </c>
      <c r="J19">
        <v>14.821688483133794</v>
      </c>
      <c r="K19">
        <v>0.74570422513132184</v>
      </c>
      <c r="L19">
        <v>19.87609562024894</v>
      </c>
      <c r="M19">
        <v>4.713507388582426E-49</v>
      </c>
      <c r="N19">
        <v>13.351146717878446</v>
      </c>
      <c r="O19">
        <v>16.292230248389142</v>
      </c>
      <c r="P19">
        <f>(O19-N19)/2</f>
        <v>1.4705417652553479</v>
      </c>
    </row>
    <row r="20" spans="1:16" ht="16" thickBot="1" x14ac:dyDescent="0.25">
      <c r="A20">
        <v>19</v>
      </c>
      <c r="B20">
        <v>83.04</v>
      </c>
      <c r="C20">
        <v>24.6</v>
      </c>
      <c r="D20">
        <v>21.96</v>
      </c>
      <c r="E20" t="s">
        <v>11</v>
      </c>
      <c r="F20">
        <v>13.56</v>
      </c>
      <c r="I20" s="1" t="s">
        <v>3</v>
      </c>
      <c r="J20" s="1">
        <v>5.469309847227332E-2</v>
      </c>
      <c r="K20" s="1">
        <v>1.6575721876358172E-2</v>
      </c>
      <c r="L20" s="1">
        <v>3.2995907436334146</v>
      </c>
      <c r="M20" s="1">
        <v>1.1481958688882203E-3</v>
      </c>
      <c r="N20" s="1">
        <v>2.2005485224341377E-2</v>
      </c>
      <c r="O20" s="1">
        <v>8.7380711720205256E-2</v>
      </c>
      <c r="P20">
        <f>(O20-N20)/2</f>
        <v>3.2687613247931943E-2</v>
      </c>
    </row>
    <row r="21" spans="1:16" x14ac:dyDescent="0.2">
      <c r="A21">
        <v>20</v>
      </c>
      <c r="B21">
        <v>176.76</v>
      </c>
      <c r="C21">
        <v>28.68</v>
      </c>
      <c r="D21">
        <v>22.92</v>
      </c>
      <c r="E21" t="s">
        <v>6</v>
      </c>
      <c r="F21">
        <v>17.52</v>
      </c>
    </row>
    <row r="22" spans="1:16" x14ac:dyDescent="0.2">
      <c r="A22">
        <v>21</v>
      </c>
      <c r="B22">
        <v>262.08</v>
      </c>
      <c r="C22">
        <v>33.24</v>
      </c>
      <c r="D22">
        <v>64.08</v>
      </c>
      <c r="E22" t="s">
        <v>11</v>
      </c>
      <c r="F22">
        <v>21.6</v>
      </c>
    </row>
    <row r="23" spans="1:16" x14ac:dyDescent="0.2">
      <c r="A23">
        <v>22</v>
      </c>
      <c r="B23">
        <v>284.88</v>
      </c>
      <c r="C23">
        <v>6.12</v>
      </c>
      <c r="D23">
        <v>28.2</v>
      </c>
      <c r="E23" t="s">
        <v>18</v>
      </c>
      <c r="F23">
        <v>15</v>
      </c>
    </row>
    <row r="24" spans="1:16" x14ac:dyDescent="0.2">
      <c r="A24">
        <v>23</v>
      </c>
      <c r="B24">
        <v>15.84</v>
      </c>
      <c r="C24">
        <v>19.079999999999998</v>
      </c>
      <c r="D24">
        <v>59.52</v>
      </c>
      <c r="E24" t="s">
        <v>7</v>
      </c>
      <c r="F24">
        <v>6.72</v>
      </c>
    </row>
    <row r="25" spans="1:16" x14ac:dyDescent="0.2">
      <c r="A25">
        <v>24</v>
      </c>
      <c r="B25">
        <v>273.95999999999998</v>
      </c>
      <c r="C25">
        <v>20.28</v>
      </c>
      <c r="D25">
        <v>31.44</v>
      </c>
      <c r="E25" t="s">
        <v>11</v>
      </c>
      <c r="F25">
        <v>18.600000000000001</v>
      </c>
    </row>
    <row r="26" spans="1:16" x14ac:dyDescent="0.2">
      <c r="A26">
        <v>25</v>
      </c>
      <c r="B26">
        <v>74.760000000000005</v>
      </c>
      <c r="C26">
        <v>15.12</v>
      </c>
      <c r="D26">
        <v>21.96</v>
      </c>
      <c r="E26" t="s">
        <v>15</v>
      </c>
      <c r="F26">
        <v>11.64</v>
      </c>
    </row>
    <row r="27" spans="1:16" x14ac:dyDescent="0.2">
      <c r="A27">
        <v>26</v>
      </c>
      <c r="B27">
        <v>315.48</v>
      </c>
      <c r="C27">
        <v>4.2</v>
      </c>
      <c r="D27">
        <v>23.4</v>
      </c>
      <c r="E27" t="s">
        <v>11</v>
      </c>
      <c r="F27">
        <v>14.4</v>
      </c>
    </row>
    <row r="28" spans="1:16" x14ac:dyDescent="0.2">
      <c r="A28">
        <v>27</v>
      </c>
      <c r="B28">
        <v>171.48</v>
      </c>
      <c r="C28">
        <v>35.159999999999997</v>
      </c>
      <c r="D28">
        <v>15.12</v>
      </c>
      <c r="E28" t="s">
        <v>6</v>
      </c>
      <c r="F28">
        <v>18</v>
      </c>
    </row>
    <row r="29" spans="1:16" x14ac:dyDescent="0.2">
      <c r="A29">
        <v>28</v>
      </c>
      <c r="B29">
        <v>288.12</v>
      </c>
      <c r="C29">
        <v>20.04</v>
      </c>
      <c r="D29">
        <v>27.48</v>
      </c>
      <c r="E29" t="s">
        <v>6</v>
      </c>
      <c r="F29">
        <v>19.079999999999998</v>
      </c>
    </row>
    <row r="30" spans="1:16" x14ac:dyDescent="0.2">
      <c r="A30">
        <v>29</v>
      </c>
      <c r="B30">
        <v>298.56</v>
      </c>
      <c r="C30">
        <v>32.520000000000003</v>
      </c>
      <c r="D30">
        <v>27.48</v>
      </c>
      <c r="E30" t="s">
        <v>11</v>
      </c>
      <c r="F30">
        <v>22.68</v>
      </c>
    </row>
    <row r="31" spans="1:16" x14ac:dyDescent="0.2">
      <c r="A31">
        <v>30</v>
      </c>
      <c r="B31">
        <v>84.72</v>
      </c>
      <c r="C31">
        <v>19.2</v>
      </c>
      <c r="D31">
        <v>48.96</v>
      </c>
      <c r="E31" t="s">
        <v>7</v>
      </c>
      <c r="F31">
        <v>12.6</v>
      </c>
    </row>
    <row r="32" spans="1:16" x14ac:dyDescent="0.2">
      <c r="A32">
        <v>31</v>
      </c>
      <c r="B32">
        <v>351.48</v>
      </c>
      <c r="C32">
        <v>33.96</v>
      </c>
      <c r="D32">
        <v>51.84</v>
      </c>
      <c r="E32" t="s">
        <v>6</v>
      </c>
      <c r="F32">
        <v>25.68</v>
      </c>
    </row>
    <row r="33" spans="1:6" x14ac:dyDescent="0.2">
      <c r="A33">
        <v>32</v>
      </c>
      <c r="B33">
        <v>135.47999999999999</v>
      </c>
      <c r="C33">
        <v>20.88</v>
      </c>
      <c r="D33">
        <v>46.32</v>
      </c>
      <c r="E33" t="s">
        <v>15</v>
      </c>
      <c r="F33">
        <v>14.28</v>
      </c>
    </row>
    <row r="34" spans="1:6" x14ac:dyDescent="0.2">
      <c r="A34">
        <v>33</v>
      </c>
      <c r="B34">
        <v>116.64</v>
      </c>
      <c r="C34">
        <v>1.8</v>
      </c>
      <c r="D34">
        <v>36</v>
      </c>
      <c r="E34" t="s">
        <v>7</v>
      </c>
      <c r="F34">
        <v>11.52</v>
      </c>
    </row>
    <row r="35" spans="1:6" x14ac:dyDescent="0.2">
      <c r="A35">
        <v>34</v>
      </c>
      <c r="B35">
        <v>318.72000000000003</v>
      </c>
      <c r="C35">
        <v>24</v>
      </c>
      <c r="D35">
        <v>0.36</v>
      </c>
      <c r="E35" t="s">
        <v>18</v>
      </c>
      <c r="F35">
        <v>20.88</v>
      </c>
    </row>
    <row r="36" spans="1:6" x14ac:dyDescent="0.2">
      <c r="A36">
        <v>35</v>
      </c>
      <c r="B36">
        <v>114.84</v>
      </c>
      <c r="C36">
        <v>1.68</v>
      </c>
      <c r="D36">
        <v>8.8800000000000008</v>
      </c>
      <c r="E36" t="s">
        <v>18</v>
      </c>
      <c r="F36">
        <v>11.4</v>
      </c>
    </row>
    <row r="37" spans="1:6" x14ac:dyDescent="0.2">
      <c r="A37">
        <v>36</v>
      </c>
      <c r="B37">
        <v>348.84</v>
      </c>
      <c r="C37">
        <v>4.92</v>
      </c>
      <c r="D37">
        <v>10.199999999999999</v>
      </c>
      <c r="E37" t="s">
        <v>6</v>
      </c>
      <c r="F37">
        <v>15.36</v>
      </c>
    </row>
    <row r="38" spans="1:6" x14ac:dyDescent="0.2">
      <c r="A38">
        <v>37</v>
      </c>
      <c r="B38">
        <v>320.27999999999997</v>
      </c>
      <c r="C38">
        <v>52.56</v>
      </c>
      <c r="D38">
        <v>6</v>
      </c>
      <c r="E38" t="s">
        <v>18</v>
      </c>
      <c r="F38">
        <v>30.48</v>
      </c>
    </row>
    <row r="39" spans="1:6" x14ac:dyDescent="0.2">
      <c r="A39">
        <v>38</v>
      </c>
      <c r="B39">
        <v>89.64</v>
      </c>
      <c r="C39">
        <v>59.28</v>
      </c>
      <c r="D39">
        <v>54.84</v>
      </c>
      <c r="E39" t="s">
        <v>7</v>
      </c>
      <c r="F39">
        <v>17.64</v>
      </c>
    </row>
    <row r="40" spans="1:6" x14ac:dyDescent="0.2">
      <c r="A40">
        <v>39</v>
      </c>
      <c r="B40">
        <v>51.72</v>
      </c>
      <c r="C40">
        <v>32.04</v>
      </c>
      <c r="D40">
        <v>42.12</v>
      </c>
      <c r="E40" t="s">
        <v>15</v>
      </c>
      <c r="F40">
        <v>12.12</v>
      </c>
    </row>
    <row r="41" spans="1:6" x14ac:dyDescent="0.2">
      <c r="A41">
        <v>40</v>
      </c>
      <c r="B41">
        <v>273.60000000000002</v>
      </c>
      <c r="C41">
        <v>45.24</v>
      </c>
      <c r="D41">
        <v>38.4</v>
      </c>
      <c r="E41" t="s">
        <v>6</v>
      </c>
      <c r="F41">
        <v>25.8</v>
      </c>
    </row>
    <row r="42" spans="1:6" x14ac:dyDescent="0.2">
      <c r="A42">
        <v>41</v>
      </c>
      <c r="B42">
        <v>243</v>
      </c>
      <c r="C42">
        <v>26.76</v>
      </c>
      <c r="D42">
        <v>37.92</v>
      </c>
      <c r="E42" t="s">
        <v>18</v>
      </c>
      <c r="F42">
        <v>19.920000000000002</v>
      </c>
    </row>
    <row r="43" spans="1:6" x14ac:dyDescent="0.2">
      <c r="A43">
        <v>42</v>
      </c>
      <c r="B43">
        <v>212.4</v>
      </c>
      <c r="C43">
        <v>40.08</v>
      </c>
      <c r="D43">
        <v>46.44</v>
      </c>
      <c r="E43" t="s">
        <v>6</v>
      </c>
      <c r="F43">
        <v>20.52</v>
      </c>
    </row>
    <row r="44" spans="1:6" x14ac:dyDescent="0.2">
      <c r="A44">
        <v>43</v>
      </c>
      <c r="B44">
        <v>352.32</v>
      </c>
      <c r="C44">
        <v>33.24</v>
      </c>
      <c r="D44">
        <v>2.16</v>
      </c>
      <c r="E44" t="s">
        <v>18</v>
      </c>
      <c r="F44">
        <v>24.84</v>
      </c>
    </row>
    <row r="45" spans="1:6" x14ac:dyDescent="0.2">
      <c r="A45">
        <v>44</v>
      </c>
      <c r="B45">
        <v>248.28</v>
      </c>
      <c r="C45">
        <v>10.08</v>
      </c>
      <c r="D45">
        <v>31.68</v>
      </c>
      <c r="E45" t="s">
        <v>6</v>
      </c>
      <c r="F45">
        <v>15.48</v>
      </c>
    </row>
    <row r="46" spans="1:6" x14ac:dyDescent="0.2">
      <c r="A46">
        <v>45</v>
      </c>
      <c r="B46">
        <v>30.12</v>
      </c>
      <c r="C46">
        <v>30.84</v>
      </c>
      <c r="D46">
        <v>51.96</v>
      </c>
      <c r="E46" t="s">
        <v>7</v>
      </c>
      <c r="F46">
        <v>10.199999999999999</v>
      </c>
    </row>
    <row r="47" spans="1:6" x14ac:dyDescent="0.2">
      <c r="A47">
        <v>46</v>
      </c>
      <c r="B47">
        <v>210.12</v>
      </c>
      <c r="C47">
        <v>27</v>
      </c>
      <c r="D47">
        <v>37.799999999999997</v>
      </c>
      <c r="E47" t="s">
        <v>11</v>
      </c>
      <c r="F47">
        <v>17.88</v>
      </c>
    </row>
    <row r="48" spans="1:6" x14ac:dyDescent="0.2">
      <c r="A48">
        <v>47</v>
      </c>
      <c r="B48">
        <v>107.64</v>
      </c>
      <c r="C48">
        <v>11.88</v>
      </c>
      <c r="D48">
        <v>42.84</v>
      </c>
      <c r="E48" t="s">
        <v>7</v>
      </c>
      <c r="F48">
        <v>12.72</v>
      </c>
    </row>
    <row r="49" spans="1:6" x14ac:dyDescent="0.2">
      <c r="A49">
        <v>48</v>
      </c>
      <c r="B49">
        <v>287.88</v>
      </c>
      <c r="C49">
        <v>49.8</v>
      </c>
      <c r="D49">
        <v>22.2</v>
      </c>
      <c r="E49" t="s">
        <v>18</v>
      </c>
      <c r="F49">
        <v>27.84</v>
      </c>
    </row>
    <row r="50" spans="1:6" x14ac:dyDescent="0.2">
      <c r="A50">
        <v>49</v>
      </c>
      <c r="B50">
        <v>272.64</v>
      </c>
      <c r="C50">
        <v>18.96</v>
      </c>
      <c r="D50">
        <v>59.88</v>
      </c>
      <c r="E50" t="s">
        <v>15</v>
      </c>
      <c r="F50">
        <v>17.760000000000002</v>
      </c>
    </row>
    <row r="51" spans="1:6" x14ac:dyDescent="0.2">
      <c r="A51">
        <v>50</v>
      </c>
      <c r="B51">
        <v>80.28</v>
      </c>
      <c r="C51">
        <v>14.04</v>
      </c>
      <c r="D51">
        <v>44.16</v>
      </c>
      <c r="E51" t="s">
        <v>15</v>
      </c>
      <c r="F51">
        <v>11.64</v>
      </c>
    </row>
    <row r="52" spans="1:6" x14ac:dyDescent="0.2">
      <c r="A52">
        <v>51</v>
      </c>
      <c r="B52">
        <v>239.76</v>
      </c>
      <c r="C52">
        <v>3.72</v>
      </c>
      <c r="D52">
        <v>41.52</v>
      </c>
      <c r="E52" t="s">
        <v>15</v>
      </c>
      <c r="F52">
        <v>13.68</v>
      </c>
    </row>
    <row r="53" spans="1:6" x14ac:dyDescent="0.2">
      <c r="A53">
        <v>52</v>
      </c>
      <c r="B53">
        <v>120.48</v>
      </c>
      <c r="C53">
        <v>11.52</v>
      </c>
      <c r="D53">
        <v>4.32</v>
      </c>
      <c r="E53" t="s">
        <v>18</v>
      </c>
      <c r="F53">
        <v>12.84</v>
      </c>
    </row>
    <row r="54" spans="1:6" x14ac:dyDescent="0.2">
      <c r="A54">
        <v>53</v>
      </c>
      <c r="B54">
        <v>259.68</v>
      </c>
      <c r="C54">
        <v>50.04</v>
      </c>
      <c r="D54">
        <v>47.52</v>
      </c>
      <c r="E54" t="s">
        <v>18</v>
      </c>
      <c r="F54">
        <v>27.12</v>
      </c>
    </row>
    <row r="55" spans="1:6" x14ac:dyDescent="0.2">
      <c r="A55">
        <v>54</v>
      </c>
      <c r="B55">
        <v>219.12</v>
      </c>
      <c r="C55">
        <v>55.44</v>
      </c>
      <c r="D55">
        <v>70.44</v>
      </c>
      <c r="E55" t="s">
        <v>18</v>
      </c>
      <c r="F55">
        <v>25.44</v>
      </c>
    </row>
    <row r="56" spans="1:6" x14ac:dyDescent="0.2">
      <c r="A56">
        <v>55</v>
      </c>
      <c r="B56">
        <v>315.24</v>
      </c>
      <c r="C56">
        <v>34.56</v>
      </c>
      <c r="D56">
        <v>19.079999999999998</v>
      </c>
      <c r="E56" t="s">
        <v>18</v>
      </c>
      <c r="F56">
        <v>24.24</v>
      </c>
    </row>
    <row r="57" spans="1:6" x14ac:dyDescent="0.2">
      <c r="A57">
        <v>56</v>
      </c>
      <c r="B57">
        <v>238.68</v>
      </c>
      <c r="C57">
        <v>59.28</v>
      </c>
      <c r="D57">
        <v>72</v>
      </c>
      <c r="E57" t="s">
        <v>6</v>
      </c>
      <c r="F57">
        <v>28.44</v>
      </c>
    </row>
    <row r="58" spans="1:6" x14ac:dyDescent="0.2">
      <c r="A58">
        <v>57</v>
      </c>
      <c r="B58">
        <v>8.76</v>
      </c>
      <c r="C58">
        <v>33.72</v>
      </c>
      <c r="D58">
        <v>49.68</v>
      </c>
      <c r="E58" t="s">
        <v>7</v>
      </c>
      <c r="F58">
        <v>6.6</v>
      </c>
    </row>
    <row r="59" spans="1:6" x14ac:dyDescent="0.2">
      <c r="A59">
        <v>58</v>
      </c>
      <c r="B59">
        <v>163.44</v>
      </c>
      <c r="C59">
        <v>23.04</v>
      </c>
      <c r="D59">
        <v>19.920000000000002</v>
      </c>
      <c r="E59" t="s">
        <v>6</v>
      </c>
      <c r="F59">
        <v>15.84</v>
      </c>
    </row>
    <row r="60" spans="1:6" x14ac:dyDescent="0.2">
      <c r="A60">
        <v>59</v>
      </c>
      <c r="B60">
        <v>252.96</v>
      </c>
      <c r="C60">
        <v>59.52</v>
      </c>
      <c r="D60">
        <v>45.24</v>
      </c>
      <c r="E60" t="s">
        <v>6</v>
      </c>
      <c r="F60">
        <v>28.56</v>
      </c>
    </row>
    <row r="61" spans="1:6" x14ac:dyDescent="0.2">
      <c r="A61">
        <v>60</v>
      </c>
      <c r="B61">
        <v>252.84</v>
      </c>
      <c r="C61">
        <v>35.4</v>
      </c>
      <c r="D61">
        <v>11.16</v>
      </c>
      <c r="E61" t="s">
        <v>11</v>
      </c>
      <c r="F61">
        <v>22.08</v>
      </c>
    </row>
    <row r="62" spans="1:6" x14ac:dyDescent="0.2">
      <c r="A62">
        <v>61</v>
      </c>
      <c r="B62">
        <v>64.2</v>
      </c>
      <c r="C62">
        <v>2.4</v>
      </c>
      <c r="D62">
        <v>25.68</v>
      </c>
      <c r="E62" t="s">
        <v>7</v>
      </c>
      <c r="F62">
        <v>9.7200000000000006</v>
      </c>
    </row>
    <row r="63" spans="1:6" x14ac:dyDescent="0.2">
      <c r="A63">
        <v>62</v>
      </c>
      <c r="B63">
        <v>313.56</v>
      </c>
      <c r="C63">
        <v>51.24</v>
      </c>
      <c r="D63">
        <v>65.64</v>
      </c>
      <c r="E63" t="s">
        <v>18</v>
      </c>
      <c r="F63">
        <v>29.04</v>
      </c>
    </row>
    <row r="64" spans="1:6" x14ac:dyDescent="0.2">
      <c r="A64">
        <v>63</v>
      </c>
      <c r="B64">
        <v>287.16000000000003</v>
      </c>
      <c r="C64">
        <v>18.600000000000001</v>
      </c>
      <c r="D64">
        <v>32.76</v>
      </c>
      <c r="E64" t="s">
        <v>11</v>
      </c>
      <c r="F64">
        <v>18.84</v>
      </c>
    </row>
    <row r="65" spans="1:6" x14ac:dyDescent="0.2">
      <c r="A65">
        <v>64</v>
      </c>
      <c r="B65">
        <v>123.24</v>
      </c>
      <c r="C65">
        <v>35.520000000000003</v>
      </c>
      <c r="D65">
        <v>10.08</v>
      </c>
      <c r="E65" t="s">
        <v>11</v>
      </c>
      <c r="F65">
        <v>16.8</v>
      </c>
    </row>
    <row r="66" spans="1:6" x14ac:dyDescent="0.2">
      <c r="A66">
        <v>65</v>
      </c>
      <c r="B66">
        <v>157.32</v>
      </c>
      <c r="C66">
        <v>51.36</v>
      </c>
      <c r="D66">
        <v>34.68</v>
      </c>
      <c r="E66" t="s">
        <v>18</v>
      </c>
      <c r="F66">
        <v>21.6</v>
      </c>
    </row>
    <row r="67" spans="1:6" x14ac:dyDescent="0.2">
      <c r="A67">
        <v>66</v>
      </c>
      <c r="B67">
        <v>82.8</v>
      </c>
      <c r="C67">
        <v>11.16</v>
      </c>
      <c r="D67">
        <v>1.08</v>
      </c>
      <c r="E67" t="s">
        <v>11</v>
      </c>
      <c r="F67">
        <v>11.16</v>
      </c>
    </row>
    <row r="68" spans="1:6" x14ac:dyDescent="0.2">
      <c r="A68">
        <v>67</v>
      </c>
      <c r="B68">
        <v>37.799999999999997</v>
      </c>
      <c r="C68">
        <v>29.52</v>
      </c>
      <c r="D68">
        <v>2.64</v>
      </c>
      <c r="E68" t="s">
        <v>11</v>
      </c>
      <c r="F68">
        <v>11.4</v>
      </c>
    </row>
    <row r="69" spans="1:6" x14ac:dyDescent="0.2">
      <c r="A69">
        <v>68</v>
      </c>
      <c r="B69">
        <v>167.16</v>
      </c>
      <c r="C69">
        <v>17.399999999999999</v>
      </c>
      <c r="D69">
        <v>12.24</v>
      </c>
      <c r="E69" t="s">
        <v>6</v>
      </c>
      <c r="F69">
        <v>16.079999999999998</v>
      </c>
    </row>
    <row r="70" spans="1:6" x14ac:dyDescent="0.2">
      <c r="A70">
        <v>69</v>
      </c>
      <c r="B70">
        <v>284.88</v>
      </c>
      <c r="C70">
        <v>33</v>
      </c>
      <c r="D70">
        <v>13.2</v>
      </c>
      <c r="E70" t="s">
        <v>18</v>
      </c>
      <c r="F70">
        <v>22.68</v>
      </c>
    </row>
    <row r="71" spans="1:6" x14ac:dyDescent="0.2">
      <c r="A71">
        <v>70</v>
      </c>
      <c r="B71">
        <v>260.16000000000003</v>
      </c>
      <c r="C71">
        <v>52.68</v>
      </c>
      <c r="D71">
        <v>32.64</v>
      </c>
      <c r="E71" t="s">
        <v>6</v>
      </c>
      <c r="F71">
        <v>26.76</v>
      </c>
    </row>
    <row r="72" spans="1:6" x14ac:dyDescent="0.2">
      <c r="A72">
        <v>71</v>
      </c>
      <c r="B72">
        <v>238.92</v>
      </c>
      <c r="C72">
        <v>36.72</v>
      </c>
      <c r="D72">
        <v>46.44</v>
      </c>
      <c r="E72" t="s">
        <v>6</v>
      </c>
      <c r="F72">
        <v>21.96</v>
      </c>
    </row>
    <row r="73" spans="1:6" x14ac:dyDescent="0.2">
      <c r="A73">
        <v>72</v>
      </c>
      <c r="B73">
        <v>131.76</v>
      </c>
      <c r="C73">
        <v>17.16</v>
      </c>
      <c r="D73">
        <v>38.04</v>
      </c>
      <c r="E73" t="s">
        <v>15</v>
      </c>
      <c r="F73">
        <v>14.88</v>
      </c>
    </row>
    <row r="74" spans="1:6" x14ac:dyDescent="0.2">
      <c r="A74">
        <v>73</v>
      </c>
      <c r="B74">
        <v>32.159999999999997</v>
      </c>
      <c r="C74">
        <v>39.6</v>
      </c>
      <c r="D74">
        <v>23.16</v>
      </c>
      <c r="E74" t="s">
        <v>15</v>
      </c>
      <c r="F74">
        <v>10.56</v>
      </c>
    </row>
    <row r="75" spans="1:6" x14ac:dyDescent="0.2">
      <c r="A75">
        <v>74</v>
      </c>
      <c r="B75">
        <v>155.28</v>
      </c>
      <c r="C75">
        <v>6.84</v>
      </c>
      <c r="D75">
        <v>37.56</v>
      </c>
      <c r="E75" t="s">
        <v>6</v>
      </c>
      <c r="F75">
        <v>13.2</v>
      </c>
    </row>
    <row r="76" spans="1:6" x14ac:dyDescent="0.2">
      <c r="A76">
        <v>75</v>
      </c>
      <c r="B76">
        <v>256.08</v>
      </c>
      <c r="C76">
        <v>29.52</v>
      </c>
      <c r="D76">
        <v>15.72</v>
      </c>
      <c r="E76" t="s">
        <v>18</v>
      </c>
      <c r="F76">
        <v>20.399999999999999</v>
      </c>
    </row>
    <row r="77" spans="1:6" x14ac:dyDescent="0.2">
      <c r="A77">
        <v>76</v>
      </c>
      <c r="B77">
        <v>20.28</v>
      </c>
      <c r="C77">
        <v>52.44</v>
      </c>
      <c r="D77">
        <v>107.28</v>
      </c>
      <c r="E77" t="s">
        <v>7</v>
      </c>
      <c r="F77">
        <v>10.44</v>
      </c>
    </row>
    <row r="78" spans="1:6" x14ac:dyDescent="0.2">
      <c r="A78">
        <v>77</v>
      </c>
      <c r="B78">
        <v>33</v>
      </c>
      <c r="C78">
        <v>1.92</v>
      </c>
      <c r="D78">
        <v>24.84</v>
      </c>
      <c r="E78" t="s">
        <v>7</v>
      </c>
      <c r="F78">
        <v>8.2799999999999994</v>
      </c>
    </row>
    <row r="79" spans="1:6" x14ac:dyDescent="0.2">
      <c r="A79">
        <v>78</v>
      </c>
      <c r="B79">
        <v>144.6</v>
      </c>
      <c r="C79">
        <v>34.200000000000003</v>
      </c>
      <c r="D79">
        <v>17.04</v>
      </c>
      <c r="E79" t="s">
        <v>18</v>
      </c>
      <c r="F79">
        <v>17.04</v>
      </c>
    </row>
    <row r="80" spans="1:6" x14ac:dyDescent="0.2">
      <c r="A80">
        <v>79</v>
      </c>
      <c r="B80">
        <v>6.48</v>
      </c>
      <c r="C80">
        <v>35.880000000000003</v>
      </c>
      <c r="D80">
        <v>11.28</v>
      </c>
      <c r="E80" t="s">
        <v>7</v>
      </c>
      <c r="F80">
        <v>6.36</v>
      </c>
    </row>
    <row r="81" spans="1:6" x14ac:dyDescent="0.2">
      <c r="A81">
        <v>80</v>
      </c>
      <c r="B81">
        <v>139.19999999999999</v>
      </c>
      <c r="C81">
        <v>9.24</v>
      </c>
      <c r="D81">
        <v>27.72</v>
      </c>
      <c r="E81" t="s">
        <v>15</v>
      </c>
      <c r="F81">
        <v>13.2</v>
      </c>
    </row>
    <row r="82" spans="1:6" x14ac:dyDescent="0.2">
      <c r="A82">
        <v>81</v>
      </c>
      <c r="B82">
        <v>91.68</v>
      </c>
      <c r="C82">
        <v>32.04</v>
      </c>
      <c r="D82">
        <v>26.76</v>
      </c>
      <c r="E82" t="s">
        <v>11</v>
      </c>
      <c r="F82">
        <v>14.16</v>
      </c>
    </row>
    <row r="83" spans="1:6" x14ac:dyDescent="0.2">
      <c r="A83">
        <v>82</v>
      </c>
      <c r="B83">
        <v>287.76</v>
      </c>
      <c r="C83">
        <v>4.92</v>
      </c>
      <c r="D83">
        <v>44.28</v>
      </c>
      <c r="E83" t="s">
        <v>11</v>
      </c>
      <c r="F83">
        <v>14.76</v>
      </c>
    </row>
    <row r="84" spans="1:6" x14ac:dyDescent="0.2">
      <c r="A84">
        <v>83</v>
      </c>
      <c r="B84">
        <v>90.36</v>
      </c>
      <c r="C84">
        <v>24.36</v>
      </c>
      <c r="D84">
        <v>39</v>
      </c>
      <c r="E84" t="s">
        <v>15</v>
      </c>
      <c r="F84">
        <v>13.56</v>
      </c>
    </row>
    <row r="85" spans="1:6" x14ac:dyDescent="0.2">
      <c r="A85">
        <v>84</v>
      </c>
      <c r="B85">
        <v>82.08</v>
      </c>
      <c r="C85">
        <v>53.4</v>
      </c>
      <c r="D85">
        <v>42.72</v>
      </c>
      <c r="E85" t="s">
        <v>15</v>
      </c>
      <c r="F85">
        <v>16.32</v>
      </c>
    </row>
    <row r="86" spans="1:6" x14ac:dyDescent="0.2">
      <c r="A86">
        <v>85</v>
      </c>
      <c r="B86">
        <v>256.2</v>
      </c>
      <c r="C86">
        <v>51.6</v>
      </c>
      <c r="D86">
        <v>40.56</v>
      </c>
      <c r="E86" t="s">
        <v>18</v>
      </c>
      <c r="F86">
        <v>26.04</v>
      </c>
    </row>
    <row r="87" spans="1:6" x14ac:dyDescent="0.2">
      <c r="A87">
        <v>86</v>
      </c>
      <c r="B87">
        <v>231.84</v>
      </c>
      <c r="C87">
        <v>22.08</v>
      </c>
      <c r="D87">
        <v>78.84</v>
      </c>
      <c r="E87" t="s">
        <v>15</v>
      </c>
      <c r="F87">
        <v>18.239999999999998</v>
      </c>
    </row>
    <row r="88" spans="1:6" x14ac:dyDescent="0.2">
      <c r="A88">
        <v>87</v>
      </c>
      <c r="B88">
        <v>91.56</v>
      </c>
      <c r="C88">
        <v>33</v>
      </c>
      <c r="D88">
        <v>19.2</v>
      </c>
      <c r="E88" t="s">
        <v>11</v>
      </c>
      <c r="F88">
        <v>14.4</v>
      </c>
    </row>
    <row r="89" spans="1:6" x14ac:dyDescent="0.2">
      <c r="A89">
        <v>88</v>
      </c>
      <c r="B89">
        <v>132.84</v>
      </c>
      <c r="C89">
        <v>48.72</v>
      </c>
      <c r="D89">
        <v>75.84</v>
      </c>
      <c r="E89" t="s">
        <v>15</v>
      </c>
      <c r="F89">
        <v>19.2</v>
      </c>
    </row>
    <row r="90" spans="1:6" x14ac:dyDescent="0.2">
      <c r="A90">
        <v>89</v>
      </c>
      <c r="B90">
        <v>105.96</v>
      </c>
      <c r="C90">
        <v>30.6</v>
      </c>
      <c r="D90">
        <v>88.08</v>
      </c>
      <c r="E90" t="s">
        <v>7</v>
      </c>
      <c r="F90">
        <v>15.48</v>
      </c>
    </row>
    <row r="91" spans="1:6" x14ac:dyDescent="0.2">
      <c r="A91">
        <v>90</v>
      </c>
      <c r="B91">
        <v>131.76</v>
      </c>
      <c r="C91">
        <v>57.36</v>
      </c>
      <c r="D91">
        <v>61.68</v>
      </c>
      <c r="E91" t="s">
        <v>11</v>
      </c>
      <c r="F91">
        <v>20.04</v>
      </c>
    </row>
    <row r="92" spans="1:6" x14ac:dyDescent="0.2">
      <c r="A92">
        <v>91</v>
      </c>
      <c r="B92">
        <v>161.16</v>
      </c>
      <c r="C92">
        <v>5.88</v>
      </c>
      <c r="D92">
        <v>11.16</v>
      </c>
      <c r="E92" t="s">
        <v>18</v>
      </c>
      <c r="F92">
        <v>13.44</v>
      </c>
    </row>
    <row r="93" spans="1:6" x14ac:dyDescent="0.2">
      <c r="A93">
        <v>92</v>
      </c>
      <c r="B93">
        <v>34.32</v>
      </c>
      <c r="C93">
        <v>1.8</v>
      </c>
      <c r="D93">
        <v>39.6</v>
      </c>
      <c r="E93" t="s">
        <v>7</v>
      </c>
      <c r="F93">
        <v>8.76</v>
      </c>
    </row>
    <row r="94" spans="1:6" x14ac:dyDescent="0.2">
      <c r="A94">
        <v>93</v>
      </c>
      <c r="B94">
        <v>261.24</v>
      </c>
      <c r="C94">
        <v>40.200000000000003</v>
      </c>
      <c r="D94">
        <v>70.8</v>
      </c>
      <c r="E94" t="s">
        <v>6</v>
      </c>
      <c r="F94">
        <v>23.28</v>
      </c>
    </row>
    <row r="95" spans="1:6" x14ac:dyDescent="0.2">
      <c r="A95">
        <v>94</v>
      </c>
      <c r="B95">
        <v>301.08</v>
      </c>
      <c r="C95">
        <v>43.8</v>
      </c>
      <c r="D95">
        <v>86.76</v>
      </c>
      <c r="E95" t="s">
        <v>7</v>
      </c>
      <c r="F95">
        <v>26.64</v>
      </c>
    </row>
    <row r="96" spans="1:6" x14ac:dyDescent="0.2">
      <c r="A96">
        <v>95</v>
      </c>
      <c r="B96">
        <v>128.88</v>
      </c>
      <c r="C96">
        <v>16.8</v>
      </c>
      <c r="D96">
        <v>13.08</v>
      </c>
      <c r="E96" t="s">
        <v>11</v>
      </c>
      <c r="F96">
        <v>13.8</v>
      </c>
    </row>
    <row r="97" spans="1:6" x14ac:dyDescent="0.2">
      <c r="A97">
        <v>96</v>
      </c>
      <c r="B97">
        <v>195.96</v>
      </c>
      <c r="C97">
        <v>37.92</v>
      </c>
      <c r="D97">
        <v>63.48</v>
      </c>
      <c r="E97" t="s">
        <v>18</v>
      </c>
      <c r="F97">
        <v>20.28</v>
      </c>
    </row>
    <row r="98" spans="1:6" x14ac:dyDescent="0.2">
      <c r="A98">
        <v>97</v>
      </c>
      <c r="B98">
        <v>237.12</v>
      </c>
      <c r="C98">
        <v>4.2</v>
      </c>
      <c r="D98">
        <v>7.08</v>
      </c>
      <c r="E98" t="s">
        <v>18</v>
      </c>
      <c r="F98">
        <v>14.04</v>
      </c>
    </row>
    <row r="99" spans="1:6" x14ac:dyDescent="0.2">
      <c r="A99">
        <v>98</v>
      </c>
      <c r="B99">
        <v>221.88</v>
      </c>
      <c r="C99">
        <v>25.2</v>
      </c>
      <c r="D99">
        <v>26.4</v>
      </c>
      <c r="E99" t="s">
        <v>6</v>
      </c>
      <c r="F99">
        <v>18.600000000000001</v>
      </c>
    </row>
    <row r="100" spans="1:6" x14ac:dyDescent="0.2">
      <c r="A100">
        <v>99</v>
      </c>
      <c r="B100">
        <v>347.64</v>
      </c>
      <c r="C100">
        <v>50.76</v>
      </c>
      <c r="D100">
        <v>61.44</v>
      </c>
      <c r="E100" t="s">
        <v>18</v>
      </c>
      <c r="F100">
        <v>30.48</v>
      </c>
    </row>
    <row r="101" spans="1:6" x14ac:dyDescent="0.2">
      <c r="A101">
        <v>100</v>
      </c>
      <c r="B101">
        <v>162.24</v>
      </c>
      <c r="C101">
        <v>50.04</v>
      </c>
      <c r="D101">
        <v>55.08</v>
      </c>
      <c r="E101" t="s">
        <v>6</v>
      </c>
      <c r="F101">
        <v>20.64</v>
      </c>
    </row>
    <row r="102" spans="1:6" x14ac:dyDescent="0.2">
      <c r="A102">
        <v>101</v>
      </c>
      <c r="B102">
        <v>266.88</v>
      </c>
      <c r="C102">
        <v>5.16</v>
      </c>
      <c r="D102">
        <v>59.76</v>
      </c>
      <c r="E102" t="s">
        <v>7</v>
      </c>
      <c r="F102">
        <v>14.04</v>
      </c>
    </row>
    <row r="103" spans="1:6" x14ac:dyDescent="0.2">
      <c r="A103">
        <v>102</v>
      </c>
      <c r="B103">
        <v>355.68</v>
      </c>
      <c r="C103">
        <v>43.56</v>
      </c>
      <c r="D103">
        <v>121.08</v>
      </c>
      <c r="E103" t="s">
        <v>15</v>
      </c>
      <c r="F103">
        <v>28.56</v>
      </c>
    </row>
    <row r="104" spans="1:6" x14ac:dyDescent="0.2">
      <c r="A104">
        <v>103</v>
      </c>
      <c r="B104">
        <v>336.24</v>
      </c>
      <c r="C104">
        <v>12.12</v>
      </c>
      <c r="D104">
        <v>25.68</v>
      </c>
      <c r="E104" t="s">
        <v>6</v>
      </c>
      <c r="F104">
        <v>17.760000000000002</v>
      </c>
    </row>
    <row r="105" spans="1:6" x14ac:dyDescent="0.2">
      <c r="A105">
        <v>104</v>
      </c>
      <c r="B105">
        <v>225.48</v>
      </c>
      <c r="C105">
        <v>20.64</v>
      </c>
      <c r="D105">
        <v>21.48</v>
      </c>
      <c r="E105" t="s">
        <v>11</v>
      </c>
      <c r="F105">
        <v>17.64</v>
      </c>
    </row>
    <row r="106" spans="1:6" x14ac:dyDescent="0.2">
      <c r="A106">
        <v>105</v>
      </c>
      <c r="B106">
        <v>285.83999999999997</v>
      </c>
      <c r="C106">
        <v>41.16</v>
      </c>
      <c r="D106">
        <v>6.36</v>
      </c>
      <c r="E106" t="s">
        <v>6</v>
      </c>
      <c r="F106">
        <v>24.84</v>
      </c>
    </row>
    <row r="107" spans="1:6" x14ac:dyDescent="0.2">
      <c r="A107">
        <v>106</v>
      </c>
      <c r="B107">
        <v>165.48</v>
      </c>
      <c r="C107">
        <v>55.68</v>
      </c>
      <c r="D107">
        <v>70.8</v>
      </c>
      <c r="E107" t="s">
        <v>6</v>
      </c>
      <c r="F107">
        <v>23.04</v>
      </c>
    </row>
    <row r="108" spans="1:6" x14ac:dyDescent="0.2">
      <c r="A108">
        <v>107</v>
      </c>
      <c r="B108">
        <v>30</v>
      </c>
      <c r="C108">
        <v>13.2</v>
      </c>
      <c r="D108">
        <v>35.64</v>
      </c>
      <c r="E108" t="s">
        <v>15</v>
      </c>
      <c r="F108">
        <v>8.64</v>
      </c>
    </row>
    <row r="109" spans="1:6" x14ac:dyDescent="0.2">
      <c r="A109">
        <v>108</v>
      </c>
      <c r="B109">
        <v>108.48</v>
      </c>
      <c r="C109">
        <v>0.36</v>
      </c>
      <c r="D109">
        <v>27.84</v>
      </c>
      <c r="E109" t="s">
        <v>7</v>
      </c>
      <c r="F109">
        <v>10.44</v>
      </c>
    </row>
    <row r="110" spans="1:6" x14ac:dyDescent="0.2">
      <c r="A110">
        <v>109</v>
      </c>
      <c r="B110">
        <v>15.72</v>
      </c>
      <c r="C110">
        <v>0.48</v>
      </c>
      <c r="D110">
        <v>30.72</v>
      </c>
      <c r="E110" t="s">
        <v>7</v>
      </c>
      <c r="F110">
        <v>6.36</v>
      </c>
    </row>
    <row r="111" spans="1:6" x14ac:dyDescent="0.2">
      <c r="A111">
        <v>110</v>
      </c>
      <c r="B111">
        <v>306.48</v>
      </c>
      <c r="C111">
        <v>32.28</v>
      </c>
      <c r="D111">
        <v>6.6</v>
      </c>
      <c r="E111" t="s">
        <v>18</v>
      </c>
      <c r="F111">
        <v>23.76</v>
      </c>
    </row>
    <row r="112" spans="1:6" x14ac:dyDescent="0.2">
      <c r="A112">
        <v>111</v>
      </c>
      <c r="B112">
        <v>270.95999999999998</v>
      </c>
      <c r="C112">
        <v>9.84</v>
      </c>
      <c r="D112">
        <v>67.8</v>
      </c>
      <c r="E112" t="s">
        <v>11</v>
      </c>
      <c r="F112">
        <v>16.079999999999998</v>
      </c>
    </row>
    <row r="113" spans="1:6" x14ac:dyDescent="0.2">
      <c r="A113">
        <v>112</v>
      </c>
      <c r="B113">
        <v>290.04000000000002</v>
      </c>
      <c r="C113">
        <v>45.6</v>
      </c>
      <c r="D113">
        <v>27.84</v>
      </c>
      <c r="E113" t="s">
        <v>18</v>
      </c>
      <c r="F113">
        <v>26.16</v>
      </c>
    </row>
    <row r="114" spans="1:6" x14ac:dyDescent="0.2">
      <c r="A114">
        <v>113</v>
      </c>
      <c r="B114">
        <v>210.84</v>
      </c>
      <c r="C114">
        <v>18.48</v>
      </c>
      <c r="D114">
        <v>2.88</v>
      </c>
      <c r="E114" t="s">
        <v>18</v>
      </c>
      <c r="F114">
        <v>16.920000000000002</v>
      </c>
    </row>
    <row r="115" spans="1:6" x14ac:dyDescent="0.2">
      <c r="A115">
        <v>114</v>
      </c>
      <c r="B115">
        <v>251.52</v>
      </c>
      <c r="C115">
        <v>24.72</v>
      </c>
      <c r="D115">
        <v>12.84</v>
      </c>
      <c r="E115" t="s">
        <v>18</v>
      </c>
      <c r="F115">
        <v>19.079999999999998</v>
      </c>
    </row>
    <row r="116" spans="1:6" x14ac:dyDescent="0.2">
      <c r="A116">
        <v>115</v>
      </c>
      <c r="B116">
        <v>93.84</v>
      </c>
      <c r="C116">
        <v>56.16</v>
      </c>
      <c r="D116">
        <v>41.4</v>
      </c>
      <c r="E116" t="s">
        <v>15</v>
      </c>
      <c r="F116">
        <v>17.52</v>
      </c>
    </row>
    <row r="117" spans="1:6" x14ac:dyDescent="0.2">
      <c r="A117">
        <v>116</v>
      </c>
      <c r="B117">
        <v>90.12</v>
      </c>
      <c r="C117">
        <v>42</v>
      </c>
      <c r="D117">
        <v>63.24</v>
      </c>
      <c r="E117" t="s">
        <v>7</v>
      </c>
      <c r="F117">
        <v>15.12</v>
      </c>
    </row>
    <row r="118" spans="1:6" x14ac:dyDescent="0.2">
      <c r="A118">
        <v>117</v>
      </c>
      <c r="B118">
        <v>167.04</v>
      </c>
      <c r="C118">
        <v>17.16</v>
      </c>
      <c r="D118">
        <v>30.72</v>
      </c>
      <c r="E118" t="s">
        <v>6</v>
      </c>
      <c r="F118">
        <v>14.64</v>
      </c>
    </row>
    <row r="119" spans="1:6" x14ac:dyDescent="0.2">
      <c r="A119">
        <v>118</v>
      </c>
      <c r="B119">
        <v>91.68</v>
      </c>
      <c r="C119">
        <v>0.96</v>
      </c>
      <c r="D119">
        <v>17.760000000000002</v>
      </c>
      <c r="E119" t="s">
        <v>11</v>
      </c>
      <c r="F119">
        <v>11.28</v>
      </c>
    </row>
    <row r="120" spans="1:6" x14ac:dyDescent="0.2">
      <c r="A120">
        <v>119</v>
      </c>
      <c r="B120">
        <v>150.84</v>
      </c>
      <c r="C120">
        <v>44.28</v>
      </c>
      <c r="D120">
        <v>95.04</v>
      </c>
      <c r="E120" t="s">
        <v>6</v>
      </c>
      <c r="F120">
        <v>19.079999999999998</v>
      </c>
    </row>
    <row r="121" spans="1:6" x14ac:dyDescent="0.2">
      <c r="A121">
        <v>120</v>
      </c>
      <c r="B121">
        <v>23.28</v>
      </c>
      <c r="C121">
        <v>19.2</v>
      </c>
      <c r="D121">
        <v>26.76</v>
      </c>
      <c r="E121" t="s">
        <v>7</v>
      </c>
      <c r="F121">
        <v>7.92</v>
      </c>
    </row>
    <row r="122" spans="1:6" x14ac:dyDescent="0.2">
      <c r="A122">
        <v>121</v>
      </c>
      <c r="B122">
        <v>169.56</v>
      </c>
      <c r="C122">
        <v>32.159999999999997</v>
      </c>
      <c r="D122">
        <v>55.44</v>
      </c>
      <c r="E122" t="s">
        <v>6</v>
      </c>
      <c r="F122">
        <v>18.600000000000001</v>
      </c>
    </row>
    <row r="123" spans="1:6" x14ac:dyDescent="0.2">
      <c r="A123">
        <v>122</v>
      </c>
      <c r="B123">
        <v>22.56</v>
      </c>
      <c r="C123">
        <v>26.04</v>
      </c>
      <c r="D123">
        <v>60.48</v>
      </c>
      <c r="E123" t="s">
        <v>7</v>
      </c>
      <c r="F123">
        <v>8.4</v>
      </c>
    </row>
    <row r="124" spans="1:6" x14ac:dyDescent="0.2">
      <c r="A124">
        <v>123</v>
      </c>
      <c r="B124">
        <v>268.8</v>
      </c>
      <c r="C124">
        <v>2.88</v>
      </c>
      <c r="D124">
        <v>18.72</v>
      </c>
      <c r="E124" t="s">
        <v>15</v>
      </c>
      <c r="F124">
        <v>13.92</v>
      </c>
    </row>
    <row r="125" spans="1:6" x14ac:dyDescent="0.2">
      <c r="A125">
        <v>124</v>
      </c>
      <c r="B125">
        <v>147.72</v>
      </c>
      <c r="C125">
        <v>41.52</v>
      </c>
      <c r="D125">
        <v>14.88</v>
      </c>
      <c r="E125" t="s">
        <v>6</v>
      </c>
      <c r="F125">
        <v>18.239999999999998</v>
      </c>
    </row>
    <row r="126" spans="1:6" x14ac:dyDescent="0.2">
      <c r="A126">
        <v>125</v>
      </c>
      <c r="B126">
        <v>275.39999999999998</v>
      </c>
      <c r="C126">
        <v>38.76</v>
      </c>
      <c r="D126">
        <v>89.04</v>
      </c>
      <c r="E126" t="s">
        <v>11</v>
      </c>
      <c r="F126">
        <v>23.64</v>
      </c>
    </row>
    <row r="127" spans="1:6" x14ac:dyDescent="0.2">
      <c r="A127">
        <v>126</v>
      </c>
      <c r="B127">
        <v>104.64</v>
      </c>
      <c r="C127">
        <v>14.16</v>
      </c>
      <c r="D127">
        <v>31.08</v>
      </c>
      <c r="E127" t="s">
        <v>7</v>
      </c>
      <c r="F127">
        <v>12.72</v>
      </c>
    </row>
    <row r="128" spans="1:6" x14ac:dyDescent="0.2">
      <c r="A128">
        <v>127</v>
      </c>
      <c r="B128">
        <v>9.36</v>
      </c>
      <c r="C128">
        <v>46.68</v>
      </c>
      <c r="D128">
        <v>60.72</v>
      </c>
      <c r="E128" t="s">
        <v>7</v>
      </c>
      <c r="F128">
        <v>7.92</v>
      </c>
    </row>
    <row r="129" spans="1:6" x14ac:dyDescent="0.2">
      <c r="A129">
        <v>128</v>
      </c>
      <c r="B129">
        <v>96.24</v>
      </c>
      <c r="C129">
        <v>0</v>
      </c>
      <c r="D129">
        <v>11.04</v>
      </c>
      <c r="E129" t="s">
        <v>11</v>
      </c>
      <c r="F129">
        <v>10.56</v>
      </c>
    </row>
    <row r="130" spans="1:6" x14ac:dyDescent="0.2">
      <c r="A130">
        <v>129</v>
      </c>
      <c r="B130">
        <v>264.36</v>
      </c>
      <c r="C130">
        <v>58.8</v>
      </c>
      <c r="D130">
        <v>3.84</v>
      </c>
      <c r="E130" t="s">
        <v>6</v>
      </c>
      <c r="F130">
        <v>29.64</v>
      </c>
    </row>
    <row r="131" spans="1:6" x14ac:dyDescent="0.2">
      <c r="A131">
        <v>130</v>
      </c>
      <c r="B131">
        <v>71.52</v>
      </c>
      <c r="C131">
        <v>14.4</v>
      </c>
      <c r="D131">
        <v>51.72</v>
      </c>
      <c r="E131" t="s">
        <v>15</v>
      </c>
      <c r="F131">
        <v>11.64</v>
      </c>
    </row>
    <row r="132" spans="1:6" x14ac:dyDescent="0.2">
      <c r="A132">
        <v>131</v>
      </c>
      <c r="B132">
        <v>0.84</v>
      </c>
      <c r="C132">
        <v>47.52</v>
      </c>
      <c r="D132">
        <v>10.44</v>
      </c>
      <c r="E132" t="s">
        <v>7</v>
      </c>
      <c r="F132">
        <v>1.92</v>
      </c>
    </row>
    <row r="133" spans="1:6" x14ac:dyDescent="0.2">
      <c r="A133">
        <v>132</v>
      </c>
      <c r="B133">
        <v>318.24</v>
      </c>
      <c r="C133">
        <v>3.48</v>
      </c>
      <c r="D133">
        <v>51.6</v>
      </c>
      <c r="E133" t="s">
        <v>7</v>
      </c>
      <c r="F133">
        <v>15.24</v>
      </c>
    </row>
    <row r="134" spans="1:6" x14ac:dyDescent="0.2">
      <c r="A134">
        <v>133</v>
      </c>
      <c r="B134">
        <v>10.08</v>
      </c>
      <c r="C134">
        <v>32.64</v>
      </c>
      <c r="D134">
        <v>2.52</v>
      </c>
      <c r="E134" t="s">
        <v>7</v>
      </c>
      <c r="F134">
        <v>6.84</v>
      </c>
    </row>
    <row r="135" spans="1:6" x14ac:dyDescent="0.2">
      <c r="A135">
        <v>134</v>
      </c>
      <c r="B135">
        <v>263.76</v>
      </c>
      <c r="C135">
        <v>40.200000000000003</v>
      </c>
      <c r="D135">
        <v>54.12</v>
      </c>
      <c r="E135" t="s">
        <v>6</v>
      </c>
      <c r="F135">
        <v>23.52</v>
      </c>
    </row>
    <row r="136" spans="1:6" x14ac:dyDescent="0.2">
      <c r="A136">
        <v>135</v>
      </c>
      <c r="B136">
        <v>44.28</v>
      </c>
      <c r="C136">
        <v>46.32</v>
      </c>
      <c r="D136">
        <v>78.72</v>
      </c>
      <c r="E136" t="s">
        <v>7</v>
      </c>
      <c r="F136">
        <v>12.96</v>
      </c>
    </row>
    <row r="137" spans="1:6" x14ac:dyDescent="0.2">
      <c r="A137">
        <v>136</v>
      </c>
      <c r="B137">
        <v>57.96</v>
      </c>
      <c r="C137">
        <v>56.4</v>
      </c>
      <c r="D137">
        <v>10.199999999999999</v>
      </c>
      <c r="E137" t="s">
        <v>6</v>
      </c>
      <c r="F137">
        <v>13.92</v>
      </c>
    </row>
    <row r="138" spans="1:6" x14ac:dyDescent="0.2">
      <c r="A138">
        <v>137</v>
      </c>
      <c r="B138">
        <v>30.72</v>
      </c>
      <c r="C138">
        <v>46.8</v>
      </c>
      <c r="D138">
        <v>11.16</v>
      </c>
      <c r="E138" t="s">
        <v>7</v>
      </c>
      <c r="F138">
        <v>11.4</v>
      </c>
    </row>
    <row r="139" spans="1:6" x14ac:dyDescent="0.2">
      <c r="A139">
        <v>138</v>
      </c>
      <c r="B139">
        <v>328.44</v>
      </c>
      <c r="C139">
        <v>34.68</v>
      </c>
      <c r="D139">
        <v>71.64</v>
      </c>
      <c r="E139" t="s">
        <v>11</v>
      </c>
      <c r="F139">
        <v>24.96</v>
      </c>
    </row>
    <row r="140" spans="1:6" x14ac:dyDescent="0.2">
      <c r="A140">
        <v>139</v>
      </c>
      <c r="B140">
        <v>51.6</v>
      </c>
      <c r="C140">
        <v>31.08</v>
      </c>
      <c r="D140">
        <v>24.6</v>
      </c>
      <c r="E140" t="s">
        <v>15</v>
      </c>
      <c r="F140">
        <v>11.52</v>
      </c>
    </row>
    <row r="141" spans="1:6" x14ac:dyDescent="0.2">
      <c r="A141">
        <v>140</v>
      </c>
      <c r="B141">
        <v>221.88</v>
      </c>
      <c r="C141">
        <v>52.68</v>
      </c>
      <c r="D141">
        <v>2.04</v>
      </c>
      <c r="E141" t="s">
        <v>18</v>
      </c>
      <c r="F141">
        <v>24.84</v>
      </c>
    </row>
    <row r="142" spans="1:6" x14ac:dyDescent="0.2">
      <c r="A142">
        <v>141</v>
      </c>
      <c r="B142">
        <v>88.08</v>
      </c>
      <c r="C142">
        <v>20.399999999999999</v>
      </c>
      <c r="D142">
        <v>15.48</v>
      </c>
      <c r="E142" t="s">
        <v>11</v>
      </c>
      <c r="F142">
        <v>13.08</v>
      </c>
    </row>
    <row r="143" spans="1:6" x14ac:dyDescent="0.2">
      <c r="A143">
        <v>142</v>
      </c>
      <c r="B143">
        <v>232.44</v>
      </c>
      <c r="C143">
        <v>42.48</v>
      </c>
      <c r="D143">
        <v>90.72</v>
      </c>
      <c r="E143" t="s">
        <v>7</v>
      </c>
      <c r="F143">
        <v>23.04</v>
      </c>
    </row>
    <row r="144" spans="1:6" x14ac:dyDescent="0.2">
      <c r="A144">
        <v>143</v>
      </c>
      <c r="B144">
        <v>264.60000000000002</v>
      </c>
      <c r="C144">
        <v>39.840000000000003</v>
      </c>
      <c r="D144">
        <v>45.48</v>
      </c>
      <c r="E144" t="s">
        <v>18</v>
      </c>
      <c r="F144">
        <v>24.12</v>
      </c>
    </row>
    <row r="145" spans="1:6" x14ac:dyDescent="0.2">
      <c r="A145">
        <v>144</v>
      </c>
      <c r="B145">
        <v>125.52</v>
      </c>
      <c r="C145">
        <v>6.84</v>
      </c>
      <c r="D145">
        <v>41.28</v>
      </c>
      <c r="E145" t="s">
        <v>15</v>
      </c>
      <c r="F145">
        <v>12.48</v>
      </c>
    </row>
    <row r="146" spans="1:6" x14ac:dyDescent="0.2">
      <c r="A146">
        <v>145</v>
      </c>
      <c r="B146">
        <v>115.44</v>
      </c>
      <c r="C146">
        <v>17.760000000000002</v>
      </c>
      <c r="D146">
        <v>46.68</v>
      </c>
      <c r="E146" t="s">
        <v>15</v>
      </c>
      <c r="F146">
        <v>13.68</v>
      </c>
    </row>
    <row r="147" spans="1:6" x14ac:dyDescent="0.2">
      <c r="A147">
        <v>146</v>
      </c>
      <c r="B147">
        <v>168.36</v>
      </c>
      <c r="C147">
        <v>2.2799999999999998</v>
      </c>
      <c r="D147">
        <v>10.8</v>
      </c>
      <c r="E147" t="s">
        <v>6</v>
      </c>
      <c r="F147">
        <v>12.36</v>
      </c>
    </row>
    <row r="148" spans="1:6" x14ac:dyDescent="0.2">
      <c r="A148">
        <v>147</v>
      </c>
      <c r="B148">
        <v>288.12</v>
      </c>
      <c r="C148">
        <v>8.76</v>
      </c>
      <c r="D148">
        <v>10.44</v>
      </c>
      <c r="E148" t="s">
        <v>6</v>
      </c>
      <c r="F148">
        <v>15.84</v>
      </c>
    </row>
    <row r="149" spans="1:6" x14ac:dyDescent="0.2">
      <c r="A149">
        <v>148</v>
      </c>
      <c r="B149">
        <v>291.83999999999997</v>
      </c>
      <c r="C149">
        <v>58.8</v>
      </c>
      <c r="D149">
        <v>53.16</v>
      </c>
      <c r="E149" t="s">
        <v>18</v>
      </c>
      <c r="F149">
        <v>30.48</v>
      </c>
    </row>
    <row r="150" spans="1:6" x14ac:dyDescent="0.2">
      <c r="A150">
        <v>149</v>
      </c>
      <c r="B150">
        <v>45.6</v>
      </c>
      <c r="C150">
        <v>48.36</v>
      </c>
      <c r="D150">
        <v>14.28</v>
      </c>
      <c r="E150" t="s">
        <v>11</v>
      </c>
      <c r="F150">
        <v>13.08</v>
      </c>
    </row>
    <row r="151" spans="1:6" x14ac:dyDescent="0.2">
      <c r="A151">
        <v>150</v>
      </c>
      <c r="B151">
        <v>53.64</v>
      </c>
      <c r="C151">
        <v>30.96</v>
      </c>
      <c r="D151">
        <v>24.72</v>
      </c>
      <c r="E151" t="s">
        <v>15</v>
      </c>
      <c r="F151">
        <v>12.12</v>
      </c>
    </row>
    <row r="152" spans="1:6" x14ac:dyDescent="0.2">
      <c r="A152">
        <v>151</v>
      </c>
      <c r="B152">
        <v>336.84</v>
      </c>
      <c r="C152">
        <v>16.68</v>
      </c>
      <c r="D152">
        <v>44.4</v>
      </c>
      <c r="E152" t="s">
        <v>18</v>
      </c>
      <c r="F152">
        <v>19.32</v>
      </c>
    </row>
    <row r="153" spans="1:6" x14ac:dyDescent="0.2">
      <c r="A153">
        <v>152</v>
      </c>
      <c r="B153">
        <v>145.19999999999999</v>
      </c>
      <c r="C153">
        <v>10.08</v>
      </c>
      <c r="D153">
        <v>58.44</v>
      </c>
      <c r="E153" t="s">
        <v>7</v>
      </c>
      <c r="F153">
        <v>13.92</v>
      </c>
    </row>
    <row r="154" spans="1:6" x14ac:dyDescent="0.2">
      <c r="A154">
        <v>153</v>
      </c>
      <c r="B154">
        <v>237.12</v>
      </c>
      <c r="C154">
        <v>27.96</v>
      </c>
      <c r="D154">
        <v>17.04</v>
      </c>
      <c r="E154" t="s">
        <v>6</v>
      </c>
      <c r="F154">
        <v>19.920000000000002</v>
      </c>
    </row>
    <row r="155" spans="1:6" x14ac:dyDescent="0.2">
      <c r="A155">
        <v>154</v>
      </c>
      <c r="B155">
        <v>205.56</v>
      </c>
      <c r="C155">
        <v>47.64</v>
      </c>
      <c r="D155">
        <v>45.24</v>
      </c>
      <c r="E155" t="s">
        <v>6</v>
      </c>
      <c r="F155">
        <v>22.8</v>
      </c>
    </row>
    <row r="156" spans="1:6" x14ac:dyDescent="0.2">
      <c r="A156">
        <v>155</v>
      </c>
      <c r="B156">
        <v>225.36</v>
      </c>
      <c r="C156">
        <v>25.32</v>
      </c>
      <c r="D156">
        <v>11.4</v>
      </c>
      <c r="E156" t="s">
        <v>18</v>
      </c>
      <c r="F156">
        <v>18.72</v>
      </c>
    </row>
    <row r="157" spans="1:6" x14ac:dyDescent="0.2">
      <c r="A157">
        <v>156</v>
      </c>
      <c r="B157">
        <v>4.92</v>
      </c>
      <c r="C157">
        <v>13.92</v>
      </c>
      <c r="D157">
        <v>6.84</v>
      </c>
      <c r="E157" t="s">
        <v>7</v>
      </c>
      <c r="F157">
        <v>3.84</v>
      </c>
    </row>
    <row r="158" spans="1:6" x14ac:dyDescent="0.2">
      <c r="A158">
        <v>157</v>
      </c>
      <c r="B158">
        <v>112.68</v>
      </c>
      <c r="C158">
        <v>52.2</v>
      </c>
      <c r="D158">
        <v>60.6</v>
      </c>
      <c r="E158" t="s">
        <v>15</v>
      </c>
      <c r="F158">
        <v>18.36</v>
      </c>
    </row>
    <row r="159" spans="1:6" x14ac:dyDescent="0.2">
      <c r="A159">
        <v>158</v>
      </c>
      <c r="B159">
        <v>179.76</v>
      </c>
      <c r="C159">
        <v>1.56</v>
      </c>
      <c r="D159">
        <v>29.16</v>
      </c>
      <c r="E159" t="s">
        <v>7</v>
      </c>
      <c r="F159">
        <v>12.12</v>
      </c>
    </row>
    <row r="160" spans="1:6" x14ac:dyDescent="0.2">
      <c r="A160">
        <v>159</v>
      </c>
      <c r="B160">
        <v>14.04</v>
      </c>
      <c r="C160">
        <v>44.28</v>
      </c>
      <c r="D160">
        <v>54.24</v>
      </c>
      <c r="E160" t="s">
        <v>15</v>
      </c>
      <c r="F160">
        <v>8.76</v>
      </c>
    </row>
    <row r="161" spans="1:6" x14ac:dyDescent="0.2">
      <c r="A161">
        <v>160</v>
      </c>
      <c r="B161">
        <v>158.04</v>
      </c>
      <c r="C161">
        <v>22.08</v>
      </c>
      <c r="D161">
        <v>41.52</v>
      </c>
      <c r="E161" t="s">
        <v>11</v>
      </c>
      <c r="F161">
        <v>15.48</v>
      </c>
    </row>
    <row r="162" spans="1:6" x14ac:dyDescent="0.2">
      <c r="A162">
        <v>161</v>
      </c>
      <c r="B162">
        <v>207</v>
      </c>
      <c r="C162">
        <v>21.72</v>
      </c>
      <c r="D162">
        <v>36.840000000000003</v>
      </c>
      <c r="E162" t="s">
        <v>15</v>
      </c>
      <c r="F162">
        <v>17.28</v>
      </c>
    </row>
    <row r="163" spans="1:6" x14ac:dyDescent="0.2">
      <c r="A163">
        <v>162</v>
      </c>
      <c r="B163">
        <v>102.84</v>
      </c>
      <c r="C163">
        <v>42.96</v>
      </c>
      <c r="D163">
        <v>59.16</v>
      </c>
      <c r="E163" t="s">
        <v>15</v>
      </c>
      <c r="F163">
        <v>15.96</v>
      </c>
    </row>
    <row r="164" spans="1:6" x14ac:dyDescent="0.2">
      <c r="A164">
        <v>163</v>
      </c>
      <c r="B164">
        <v>226.08</v>
      </c>
      <c r="C164">
        <v>21.72</v>
      </c>
      <c r="D164">
        <v>30.72</v>
      </c>
      <c r="E164" t="s">
        <v>11</v>
      </c>
      <c r="F164">
        <v>17.88</v>
      </c>
    </row>
    <row r="165" spans="1:6" x14ac:dyDescent="0.2">
      <c r="A165">
        <v>164</v>
      </c>
      <c r="B165">
        <v>196.2</v>
      </c>
      <c r="C165">
        <v>44.16</v>
      </c>
      <c r="D165">
        <v>8.8800000000000008</v>
      </c>
      <c r="E165" t="s">
        <v>11</v>
      </c>
      <c r="F165">
        <v>21.6</v>
      </c>
    </row>
    <row r="166" spans="1:6" x14ac:dyDescent="0.2">
      <c r="A166">
        <v>165</v>
      </c>
      <c r="B166">
        <v>140.63999999999999</v>
      </c>
      <c r="C166">
        <v>17.64</v>
      </c>
      <c r="D166">
        <v>6.48</v>
      </c>
      <c r="E166" t="s">
        <v>6</v>
      </c>
      <c r="F166">
        <v>14.28</v>
      </c>
    </row>
    <row r="167" spans="1:6" x14ac:dyDescent="0.2">
      <c r="A167">
        <v>166</v>
      </c>
      <c r="B167">
        <v>281.39999999999998</v>
      </c>
      <c r="C167">
        <v>4.08</v>
      </c>
      <c r="D167">
        <v>101.76</v>
      </c>
      <c r="E167" t="s">
        <v>7</v>
      </c>
      <c r="F167">
        <v>14.28</v>
      </c>
    </row>
    <row r="168" spans="1:6" x14ac:dyDescent="0.2">
      <c r="A168">
        <v>167</v>
      </c>
      <c r="B168">
        <v>21.48</v>
      </c>
      <c r="C168">
        <v>45.12</v>
      </c>
      <c r="D168">
        <v>25.92</v>
      </c>
      <c r="E168" t="s">
        <v>7</v>
      </c>
      <c r="F168">
        <v>9.6</v>
      </c>
    </row>
    <row r="169" spans="1:6" x14ac:dyDescent="0.2">
      <c r="A169">
        <v>168</v>
      </c>
      <c r="B169">
        <v>248.16</v>
      </c>
      <c r="C169">
        <v>6.24</v>
      </c>
      <c r="D169">
        <v>23.28</v>
      </c>
      <c r="E169" t="s">
        <v>11</v>
      </c>
      <c r="F169">
        <v>14.64</v>
      </c>
    </row>
    <row r="170" spans="1:6" x14ac:dyDescent="0.2">
      <c r="A170">
        <v>169</v>
      </c>
      <c r="B170">
        <v>258.48</v>
      </c>
      <c r="C170">
        <v>28.32</v>
      </c>
      <c r="D170">
        <v>69.12</v>
      </c>
      <c r="E170" t="s">
        <v>11</v>
      </c>
      <c r="F170">
        <v>20.52</v>
      </c>
    </row>
    <row r="171" spans="1:6" x14ac:dyDescent="0.2">
      <c r="A171">
        <v>170</v>
      </c>
      <c r="B171">
        <v>341.16</v>
      </c>
      <c r="C171">
        <v>12.72</v>
      </c>
      <c r="D171">
        <v>7.68</v>
      </c>
      <c r="E171" t="s">
        <v>18</v>
      </c>
      <c r="F171">
        <v>18</v>
      </c>
    </row>
    <row r="172" spans="1:6" x14ac:dyDescent="0.2">
      <c r="A172">
        <v>171</v>
      </c>
      <c r="B172">
        <v>60</v>
      </c>
      <c r="C172">
        <v>13.92</v>
      </c>
      <c r="D172">
        <v>22.08</v>
      </c>
      <c r="E172" t="s">
        <v>15</v>
      </c>
      <c r="F172">
        <v>10.08</v>
      </c>
    </row>
    <row r="173" spans="1:6" x14ac:dyDescent="0.2">
      <c r="A173">
        <v>172</v>
      </c>
      <c r="B173">
        <v>197.4</v>
      </c>
      <c r="C173">
        <v>25.08</v>
      </c>
      <c r="D173">
        <v>56.88</v>
      </c>
      <c r="E173" t="s">
        <v>15</v>
      </c>
      <c r="F173">
        <v>17.399999999999999</v>
      </c>
    </row>
    <row r="174" spans="1:6" x14ac:dyDescent="0.2">
      <c r="A174">
        <v>173</v>
      </c>
      <c r="B174">
        <v>23.52</v>
      </c>
      <c r="C174">
        <v>24.12</v>
      </c>
      <c r="D174">
        <v>20.399999999999999</v>
      </c>
      <c r="E174" t="s">
        <v>7</v>
      </c>
      <c r="F174">
        <v>9.1199999999999992</v>
      </c>
    </row>
    <row r="175" spans="1:6" x14ac:dyDescent="0.2">
      <c r="A175">
        <v>174</v>
      </c>
      <c r="B175">
        <v>202.08</v>
      </c>
      <c r="C175">
        <v>8.52</v>
      </c>
      <c r="D175">
        <v>15.36</v>
      </c>
      <c r="E175" t="s">
        <v>11</v>
      </c>
      <c r="F175">
        <v>14.04</v>
      </c>
    </row>
    <row r="176" spans="1:6" x14ac:dyDescent="0.2">
      <c r="A176">
        <v>175</v>
      </c>
      <c r="B176">
        <v>266.88</v>
      </c>
      <c r="C176">
        <v>4.08</v>
      </c>
      <c r="D176">
        <v>15.72</v>
      </c>
      <c r="E176" t="s">
        <v>11</v>
      </c>
      <c r="F176">
        <v>13.8</v>
      </c>
    </row>
    <row r="177" spans="1:6" x14ac:dyDescent="0.2">
      <c r="A177">
        <v>176</v>
      </c>
      <c r="B177">
        <v>332.28</v>
      </c>
      <c r="C177">
        <v>58.68</v>
      </c>
      <c r="D177">
        <v>50.16</v>
      </c>
      <c r="E177" t="s">
        <v>18</v>
      </c>
      <c r="F177">
        <v>32.4</v>
      </c>
    </row>
    <row r="178" spans="1:6" x14ac:dyDescent="0.2">
      <c r="A178">
        <v>177</v>
      </c>
      <c r="B178">
        <v>298.08</v>
      </c>
      <c r="C178">
        <v>36.24</v>
      </c>
      <c r="D178">
        <v>24.36</v>
      </c>
      <c r="E178" t="s">
        <v>18</v>
      </c>
      <c r="F178">
        <v>24.24</v>
      </c>
    </row>
    <row r="179" spans="1:6" x14ac:dyDescent="0.2">
      <c r="A179">
        <v>178</v>
      </c>
      <c r="B179">
        <v>204.24</v>
      </c>
      <c r="C179">
        <v>9.36</v>
      </c>
      <c r="D179">
        <v>42.24</v>
      </c>
      <c r="E179" t="s">
        <v>7</v>
      </c>
      <c r="F179">
        <v>14.04</v>
      </c>
    </row>
    <row r="180" spans="1:6" x14ac:dyDescent="0.2">
      <c r="A180">
        <v>179</v>
      </c>
      <c r="B180">
        <v>332.04</v>
      </c>
      <c r="C180">
        <v>2.76</v>
      </c>
      <c r="D180">
        <v>28.44</v>
      </c>
      <c r="E180" t="s">
        <v>7</v>
      </c>
      <c r="F180">
        <v>14.16</v>
      </c>
    </row>
    <row r="181" spans="1:6" x14ac:dyDescent="0.2">
      <c r="A181">
        <v>180</v>
      </c>
      <c r="B181">
        <v>198.72</v>
      </c>
      <c r="C181">
        <v>12</v>
      </c>
      <c r="D181">
        <v>21.12</v>
      </c>
      <c r="E181" t="s">
        <v>6</v>
      </c>
      <c r="F181">
        <v>15.12</v>
      </c>
    </row>
    <row r="182" spans="1:6" x14ac:dyDescent="0.2">
      <c r="A182">
        <v>181</v>
      </c>
      <c r="B182">
        <v>187.92</v>
      </c>
      <c r="C182">
        <v>3.12</v>
      </c>
      <c r="D182">
        <v>9.9600000000000009</v>
      </c>
      <c r="E182" t="s">
        <v>6</v>
      </c>
      <c r="F182">
        <v>12.6</v>
      </c>
    </row>
    <row r="183" spans="1:6" x14ac:dyDescent="0.2">
      <c r="A183">
        <v>182</v>
      </c>
      <c r="B183">
        <v>262.2</v>
      </c>
      <c r="C183">
        <v>6.48</v>
      </c>
      <c r="D183">
        <v>32.880000000000003</v>
      </c>
      <c r="E183" t="s">
        <v>18</v>
      </c>
      <c r="F183">
        <v>14.64</v>
      </c>
    </row>
    <row r="184" spans="1:6" x14ac:dyDescent="0.2">
      <c r="A184">
        <v>183</v>
      </c>
      <c r="B184">
        <v>67.44</v>
      </c>
      <c r="C184">
        <v>6.84</v>
      </c>
      <c r="D184">
        <v>35.64</v>
      </c>
      <c r="E184" t="s">
        <v>15</v>
      </c>
      <c r="F184">
        <v>10.44</v>
      </c>
    </row>
    <row r="185" spans="1:6" x14ac:dyDescent="0.2">
      <c r="A185">
        <v>184</v>
      </c>
      <c r="B185">
        <v>345.12</v>
      </c>
      <c r="C185">
        <v>51.6</v>
      </c>
      <c r="D185">
        <v>86.16</v>
      </c>
      <c r="E185" t="s">
        <v>18</v>
      </c>
      <c r="F185">
        <v>31.44</v>
      </c>
    </row>
    <row r="186" spans="1:6" x14ac:dyDescent="0.2">
      <c r="A186">
        <v>185</v>
      </c>
      <c r="B186">
        <v>304.56</v>
      </c>
      <c r="C186">
        <v>25.56</v>
      </c>
      <c r="D186">
        <v>36</v>
      </c>
      <c r="E186" t="s">
        <v>6</v>
      </c>
      <c r="F186">
        <v>21.12</v>
      </c>
    </row>
    <row r="187" spans="1:6" x14ac:dyDescent="0.2">
      <c r="A187">
        <v>186</v>
      </c>
      <c r="B187">
        <v>246</v>
      </c>
      <c r="C187">
        <v>54.12</v>
      </c>
      <c r="D187">
        <v>23.52</v>
      </c>
      <c r="E187" t="s">
        <v>18</v>
      </c>
      <c r="F187">
        <v>27.12</v>
      </c>
    </row>
    <row r="188" spans="1:6" x14ac:dyDescent="0.2">
      <c r="A188">
        <v>187</v>
      </c>
      <c r="B188">
        <v>167.4</v>
      </c>
      <c r="C188">
        <v>2.52</v>
      </c>
      <c r="D188">
        <v>31.92</v>
      </c>
      <c r="E188" t="s">
        <v>15</v>
      </c>
      <c r="F188">
        <v>12.36</v>
      </c>
    </row>
    <row r="189" spans="1:6" x14ac:dyDescent="0.2">
      <c r="A189">
        <v>188</v>
      </c>
      <c r="B189">
        <v>229.32</v>
      </c>
      <c r="C189">
        <v>34.44</v>
      </c>
      <c r="D189">
        <v>21.84</v>
      </c>
      <c r="E189" t="s">
        <v>18</v>
      </c>
      <c r="F189">
        <v>20.76</v>
      </c>
    </row>
    <row r="190" spans="1:6" x14ac:dyDescent="0.2">
      <c r="A190">
        <v>189</v>
      </c>
      <c r="B190">
        <v>343.2</v>
      </c>
      <c r="C190">
        <v>16.68</v>
      </c>
      <c r="D190">
        <v>4.4400000000000004</v>
      </c>
      <c r="E190" t="s">
        <v>11</v>
      </c>
      <c r="F190">
        <v>19.079999999999998</v>
      </c>
    </row>
    <row r="191" spans="1:6" x14ac:dyDescent="0.2">
      <c r="A191">
        <v>190</v>
      </c>
      <c r="B191">
        <v>22.44</v>
      </c>
      <c r="C191">
        <v>14.52</v>
      </c>
      <c r="D191">
        <v>28.08</v>
      </c>
      <c r="E191" t="s">
        <v>11</v>
      </c>
      <c r="F191">
        <v>8.0399999999999991</v>
      </c>
    </row>
    <row r="192" spans="1:6" x14ac:dyDescent="0.2">
      <c r="A192">
        <v>191</v>
      </c>
      <c r="B192">
        <v>47.4</v>
      </c>
      <c r="C192">
        <v>49.32</v>
      </c>
      <c r="D192">
        <v>6.96</v>
      </c>
      <c r="E192" t="s">
        <v>18</v>
      </c>
      <c r="F192">
        <v>12.96</v>
      </c>
    </row>
    <row r="193" spans="1:6" x14ac:dyDescent="0.2">
      <c r="A193">
        <v>192</v>
      </c>
      <c r="B193">
        <v>90.6</v>
      </c>
      <c r="C193">
        <v>12.96</v>
      </c>
      <c r="D193">
        <v>7.2</v>
      </c>
      <c r="E193" t="s">
        <v>11</v>
      </c>
      <c r="F193">
        <v>11.88</v>
      </c>
    </row>
    <row r="194" spans="1:6" x14ac:dyDescent="0.2">
      <c r="A194">
        <v>193</v>
      </c>
      <c r="B194">
        <v>20.64</v>
      </c>
      <c r="C194">
        <v>4.92</v>
      </c>
      <c r="D194">
        <v>37.92</v>
      </c>
      <c r="E194" t="s">
        <v>7</v>
      </c>
      <c r="F194">
        <v>7.08</v>
      </c>
    </row>
    <row r="195" spans="1:6" x14ac:dyDescent="0.2">
      <c r="A195">
        <v>194</v>
      </c>
      <c r="B195">
        <v>200.16</v>
      </c>
      <c r="C195">
        <v>50.4</v>
      </c>
      <c r="D195">
        <v>4.32</v>
      </c>
      <c r="E195" t="s">
        <v>18</v>
      </c>
      <c r="F195">
        <v>23.52</v>
      </c>
    </row>
    <row r="196" spans="1:6" x14ac:dyDescent="0.2">
      <c r="A196">
        <v>195</v>
      </c>
      <c r="B196">
        <v>179.64</v>
      </c>
      <c r="C196">
        <v>42.72</v>
      </c>
      <c r="D196">
        <v>7.2</v>
      </c>
      <c r="E196" t="s">
        <v>18</v>
      </c>
      <c r="F196">
        <v>20.76</v>
      </c>
    </row>
    <row r="197" spans="1:6" x14ac:dyDescent="0.2">
      <c r="A197">
        <v>196</v>
      </c>
      <c r="B197">
        <v>45.84</v>
      </c>
      <c r="C197">
        <v>4.4400000000000004</v>
      </c>
      <c r="D197">
        <v>16.559999999999999</v>
      </c>
      <c r="E197" t="s">
        <v>7</v>
      </c>
      <c r="F197">
        <v>9.1199999999999992</v>
      </c>
    </row>
    <row r="198" spans="1:6" x14ac:dyDescent="0.2">
      <c r="A198">
        <v>197</v>
      </c>
      <c r="B198">
        <v>113.04</v>
      </c>
      <c r="C198">
        <v>5.88</v>
      </c>
      <c r="D198">
        <v>9.7200000000000006</v>
      </c>
      <c r="E198" t="s">
        <v>11</v>
      </c>
      <c r="F198">
        <v>11.64</v>
      </c>
    </row>
    <row r="199" spans="1:6" x14ac:dyDescent="0.2">
      <c r="A199">
        <v>198</v>
      </c>
      <c r="B199">
        <v>212.4</v>
      </c>
      <c r="C199">
        <v>11.16</v>
      </c>
      <c r="D199">
        <v>7.68</v>
      </c>
      <c r="E199" t="s">
        <v>6</v>
      </c>
      <c r="F199">
        <v>15.36</v>
      </c>
    </row>
    <row r="200" spans="1:6" x14ac:dyDescent="0.2">
      <c r="A200">
        <v>199</v>
      </c>
      <c r="B200">
        <v>340.32</v>
      </c>
      <c r="C200">
        <v>50.4</v>
      </c>
      <c r="D200">
        <v>79.44</v>
      </c>
      <c r="E200" t="s">
        <v>18</v>
      </c>
      <c r="F200">
        <v>30.6</v>
      </c>
    </row>
    <row r="201" spans="1:6" x14ac:dyDescent="0.2">
      <c r="A201">
        <v>200</v>
      </c>
      <c r="B201">
        <v>278.52</v>
      </c>
      <c r="C201">
        <v>10.32</v>
      </c>
      <c r="D201">
        <v>10.44</v>
      </c>
      <c r="E201" t="s">
        <v>11</v>
      </c>
      <c r="F201">
        <v>16.079999999999998</v>
      </c>
    </row>
  </sheetData>
  <sortState xmlns:xlrd2="http://schemas.microsoft.com/office/spreadsheetml/2017/richdata2" ref="A2:F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1854-B0EE-4BF2-8E79-80B8423624F4}">
  <dimension ref="A1:T201"/>
  <sheetViews>
    <sheetView tabSelected="1" topLeftCell="D1" zoomScale="150" workbookViewId="0">
      <selection activeCell="L5" sqref="L5:T29"/>
    </sheetView>
  </sheetViews>
  <sheetFormatPr baseColWidth="10" defaultColWidth="8.83203125" defaultRowHeight="15" x14ac:dyDescent="0.2"/>
  <cols>
    <col min="12" max="12" width="17.5" bestFit="1" customWidth="1"/>
    <col min="13" max="13" width="12" bestFit="1" customWidth="1"/>
    <col min="15" max="16" width="12" bestFit="1" customWidth="1"/>
    <col min="17" max="17" width="12.5" bestFit="1" customWidth="1"/>
    <col min="18" max="18" width="12" bestFit="1" customWidth="1"/>
    <col min="19" max="19" width="1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34</v>
      </c>
      <c r="I1" t="s">
        <v>35</v>
      </c>
      <c r="J1" t="s">
        <v>36</v>
      </c>
      <c r="K1" t="s">
        <v>37</v>
      </c>
    </row>
    <row r="2" spans="1:17" x14ac:dyDescent="0.2">
      <c r="A2">
        <v>1</v>
      </c>
      <c r="B2">
        <v>276.12</v>
      </c>
      <c r="C2">
        <v>45.36</v>
      </c>
      <c r="D2">
        <v>83.04</v>
      </c>
      <c r="E2" t="s">
        <v>6</v>
      </c>
      <c r="F2">
        <v>26.52</v>
      </c>
      <c r="G2">
        <v>83.04</v>
      </c>
      <c r="H2">
        <f>IF(E2="atlanta",1,0)</f>
        <v>0</v>
      </c>
      <c r="I2">
        <f>IF(E2="los angeles",1,0)</f>
        <v>0</v>
      </c>
      <c r="J2">
        <f>IF(E2="chicago",1,0)</f>
        <v>0</v>
      </c>
      <c r="K2">
        <f>IF(E2="houston",1,0)</f>
        <v>0</v>
      </c>
    </row>
    <row r="3" spans="1:17" x14ac:dyDescent="0.2">
      <c r="A3">
        <v>2</v>
      </c>
      <c r="B3">
        <v>53.4</v>
      </c>
      <c r="C3">
        <v>47.16</v>
      </c>
      <c r="D3">
        <v>54.12</v>
      </c>
      <c r="E3" t="s">
        <v>7</v>
      </c>
      <c r="F3">
        <v>12.48</v>
      </c>
      <c r="G3">
        <v>54.12</v>
      </c>
      <c r="H3">
        <f t="shared" ref="H3:H66" si="0">IF(E3="atlanta",1,0)</f>
        <v>1</v>
      </c>
      <c r="I3">
        <f t="shared" ref="I3:I66" si="1">IF(E3="los angeles",1,0)</f>
        <v>0</v>
      </c>
      <c r="J3">
        <f t="shared" ref="J3:J66" si="2">IF(E3="chicago",1,0)</f>
        <v>0</v>
      </c>
      <c r="K3">
        <f t="shared" ref="K3:K66" si="3">IF(E3="houston",1,0)</f>
        <v>0</v>
      </c>
    </row>
    <row r="4" spans="1:17" x14ac:dyDescent="0.2">
      <c r="A4">
        <v>3</v>
      </c>
      <c r="B4">
        <v>20.64</v>
      </c>
      <c r="C4">
        <v>55.08</v>
      </c>
      <c r="D4">
        <v>83.16</v>
      </c>
      <c r="E4" t="s">
        <v>7</v>
      </c>
      <c r="F4">
        <v>11.16</v>
      </c>
      <c r="G4">
        <v>83.16</v>
      </c>
      <c r="H4">
        <f t="shared" si="0"/>
        <v>1</v>
      </c>
      <c r="I4">
        <f t="shared" si="1"/>
        <v>0</v>
      </c>
      <c r="J4">
        <f t="shared" si="2"/>
        <v>0</v>
      </c>
      <c r="K4">
        <f t="shared" si="3"/>
        <v>0</v>
      </c>
    </row>
    <row r="5" spans="1:17" x14ac:dyDescent="0.2">
      <c r="A5">
        <v>4</v>
      </c>
      <c r="B5">
        <v>181.8</v>
      </c>
      <c r="C5">
        <v>49.56</v>
      </c>
      <c r="D5">
        <v>70.2</v>
      </c>
      <c r="E5" t="s">
        <v>6</v>
      </c>
      <c r="F5">
        <v>22.2</v>
      </c>
      <c r="G5">
        <v>70.2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 t="s">
        <v>8</v>
      </c>
    </row>
    <row r="6" spans="1:17" ht="16" thickBot="1" x14ac:dyDescent="0.25">
      <c r="A6">
        <v>5</v>
      </c>
      <c r="B6">
        <v>216.96</v>
      </c>
      <c r="C6">
        <v>12.96</v>
      </c>
      <c r="D6">
        <v>70.08</v>
      </c>
      <c r="E6" t="s">
        <v>7</v>
      </c>
      <c r="F6">
        <v>15.48</v>
      </c>
      <c r="G6">
        <v>70.08</v>
      </c>
      <c r="H6">
        <f t="shared" si="0"/>
        <v>1</v>
      </c>
      <c r="I6">
        <f t="shared" si="1"/>
        <v>0</v>
      </c>
      <c r="J6">
        <f t="shared" si="2"/>
        <v>0</v>
      </c>
      <c r="K6">
        <f t="shared" si="3"/>
        <v>0</v>
      </c>
    </row>
    <row r="7" spans="1:17" x14ac:dyDescent="0.2">
      <c r="A7">
        <v>6</v>
      </c>
      <c r="B7">
        <v>10.44</v>
      </c>
      <c r="C7">
        <v>58.68</v>
      </c>
      <c r="D7">
        <v>90</v>
      </c>
      <c r="E7" t="s">
        <v>11</v>
      </c>
      <c r="F7">
        <v>8.64</v>
      </c>
      <c r="G7">
        <v>90</v>
      </c>
      <c r="H7">
        <f t="shared" si="0"/>
        <v>0</v>
      </c>
      <c r="I7">
        <f t="shared" si="1"/>
        <v>1</v>
      </c>
      <c r="J7">
        <f t="shared" si="2"/>
        <v>0</v>
      </c>
      <c r="K7">
        <f t="shared" si="3"/>
        <v>0</v>
      </c>
      <c r="L7" s="7" t="s">
        <v>9</v>
      </c>
      <c r="M7" s="7"/>
    </row>
    <row r="8" spans="1:17" x14ac:dyDescent="0.2">
      <c r="A8">
        <v>7</v>
      </c>
      <c r="B8">
        <v>69</v>
      </c>
      <c r="C8">
        <v>39.36</v>
      </c>
      <c r="D8">
        <v>28.2</v>
      </c>
      <c r="E8" t="s">
        <v>7</v>
      </c>
      <c r="F8">
        <v>14.16</v>
      </c>
      <c r="G8">
        <v>28.2</v>
      </c>
      <c r="H8">
        <f t="shared" si="0"/>
        <v>1</v>
      </c>
      <c r="I8">
        <f t="shared" si="1"/>
        <v>0</v>
      </c>
      <c r="J8">
        <f t="shared" si="2"/>
        <v>0</v>
      </c>
      <c r="K8">
        <f t="shared" si="3"/>
        <v>0</v>
      </c>
      <c r="L8" s="4" t="s">
        <v>10</v>
      </c>
      <c r="M8" s="4">
        <v>0.77109091178995559</v>
      </c>
    </row>
    <row r="9" spans="1:17" x14ac:dyDescent="0.2">
      <c r="A9">
        <v>8</v>
      </c>
      <c r="B9">
        <v>144.24</v>
      </c>
      <c r="C9">
        <v>23.52</v>
      </c>
      <c r="D9">
        <v>13.92</v>
      </c>
      <c r="E9" t="s">
        <v>6</v>
      </c>
      <c r="F9">
        <v>15.84</v>
      </c>
      <c r="G9">
        <v>13.92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 s="4" t="s">
        <v>12</v>
      </c>
      <c r="M9" s="4">
        <v>0.59458119424506506</v>
      </c>
    </row>
    <row r="10" spans="1:17" x14ac:dyDescent="0.2">
      <c r="A10">
        <v>9</v>
      </c>
      <c r="B10">
        <v>10.32</v>
      </c>
      <c r="C10">
        <v>2.52</v>
      </c>
      <c r="D10">
        <v>1.2</v>
      </c>
      <c r="E10" t="s">
        <v>15</v>
      </c>
      <c r="F10">
        <v>5.76</v>
      </c>
      <c r="G10">
        <v>1.2</v>
      </c>
      <c r="H10">
        <f t="shared" si="0"/>
        <v>0</v>
      </c>
      <c r="I10">
        <f t="shared" si="1"/>
        <v>0</v>
      </c>
      <c r="J10">
        <f t="shared" si="2"/>
        <v>1</v>
      </c>
      <c r="K10">
        <f t="shared" si="3"/>
        <v>0</v>
      </c>
      <c r="L10" s="4" t="s">
        <v>13</v>
      </c>
      <c r="M10" s="4">
        <v>0.58413225595241214</v>
      </c>
    </row>
    <row r="11" spans="1:17" x14ac:dyDescent="0.2">
      <c r="A11">
        <v>10</v>
      </c>
      <c r="B11">
        <v>239.76</v>
      </c>
      <c r="C11">
        <v>3.12</v>
      </c>
      <c r="D11">
        <v>25.44</v>
      </c>
      <c r="E11" t="s">
        <v>15</v>
      </c>
      <c r="F11">
        <v>12.72</v>
      </c>
      <c r="G11">
        <v>25.44</v>
      </c>
      <c r="H11">
        <f t="shared" si="0"/>
        <v>0</v>
      </c>
      <c r="I11">
        <f t="shared" si="1"/>
        <v>0</v>
      </c>
      <c r="J11">
        <f t="shared" si="2"/>
        <v>1</v>
      </c>
      <c r="K11">
        <f t="shared" si="3"/>
        <v>0</v>
      </c>
      <c r="L11" s="4" t="s">
        <v>14</v>
      </c>
      <c r="M11" s="4">
        <v>4.0375480761386822</v>
      </c>
    </row>
    <row r="12" spans="1:17" ht="16" thickBot="1" x14ac:dyDescent="0.25">
      <c r="A12">
        <v>11</v>
      </c>
      <c r="B12">
        <v>79.319999999999993</v>
      </c>
      <c r="C12">
        <v>6.96</v>
      </c>
      <c r="D12">
        <v>29.04</v>
      </c>
      <c r="E12" t="s">
        <v>11</v>
      </c>
      <c r="F12">
        <v>10.32</v>
      </c>
      <c r="G12">
        <v>29.04</v>
      </c>
      <c r="H12">
        <f t="shared" si="0"/>
        <v>0</v>
      </c>
      <c r="I12">
        <f t="shared" si="1"/>
        <v>1</v>
      </c>
      <c r="J12">
        <f t="shared" si="2"/>
        <v>0</v>
      </c>
      <c r="K12">
        <f t="shared" si="3"/>
        <v>0</v>
      </c>
      <c r="L12" s="5" t="s">
        <v>16</v>
      </c>
      <c r="M12" s="5">
        <v>200</v>
      </c>
    </row>
    <row r="13" spans="1:17" x14ac:dyDescent="0.2">
      <c r="A13">
        <v>12</v>
      </c>
      <c r="B13">
        <v>257.64</v>
      </c>
      <c r="C13">
        <v>28.8</v>
      </c>
      <c r="D13">
        <v>4.8</v>
      </c>
      <c r="E13" t="s">
        <v>18</v>
      </c>
      <c r="F13">
        <v>20.88</v>
      </c>
      <c r="G13">
        <v>4.8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1</v>
      </c>
    </row>
    <row r="14" spans="1:17" ht="16" thickBot="1" x14ac:dyDescent="0.25">
      <c r="A14">
        <v>13</v>
      </c>
      <c r="B14">
        <v>28.56</v>
      </c>
      <c r="C14">
        <v>42.12</v>
      </c>
      <c r="D14">
        <v>79.08</v>
      </c>
      <c r="E14" t="s">
        <v>7</v>
      </c>
      <c r="F14">
        <v>11.04</v>
      </c>
      <c r="G14">
        <v>79.08</v>
      </c>
      <c r="H14">
        <f t="shared" si="0"/>
        <v>1</v>
      </c>
      <c r="I14">
        <f t="shared" si="1"/>
        <v>0</v>
      </c>
      <c r="J14">
        <f t="shared" si="2"/>
        <v>0</v>
      </c>
      <c r="K14">
        <f t="shared" si="3"/>
        <v>0</v>
      </c>
      <c r="L14" t="s">
        <v>17</v>
      </c>
    </row>
    <row r="15" spans="1:17" x14ac:dyDescent="0.2">
      <c r="A15">
        <v>14</v>
      </c>
      <c r="B15">
        <v>117</v>
      </c>
      <c r="C15">
        <v>9.1199999999999992</v>
      </c>
      <c r="D15">
        <v>8.64</v>
      </c>
      <c r="E15" t="s">
        <v>11</v>
      </c>
      <c r="F15">
        <v>11.64</v>
      </c>
      <c r="G15">
        <v>8.64</v>
      </c>
      <c r="H15">
        <f t="shared" si="0"/>
        <v>0</v>
      </c>
      <c r="I15">
        <f t="shared" si="1"/>
        <v>1</v>
      </c>
      <c r="J15">
        <f t="shared" si="2"/>
        <v>0</v>
      </c>
      <c r="K15">
        <f t="shared" si="3"/>
        <v>0</v>
      </c>
      <c r="L15" s="6"/>
      <c r="M15" s="6" t="s">
        <v>19</v>
      </c>
      <c r="N15" s="6" t="s">
        <v>20</v>
      </c>
      <c r="O15" s="6" t="s">
        <v>21</v>
      </c>
      <c r="P15" s="6" t="s">
        <v>22</v>
      </c>
      <c r="Q15" s="6" t="s">
        <v>23</v>
      </c>
    </row>
    <row r="16" spans="1:17" x14ac:dyDescent="0.2">
      <c r="A16">
        <v>15</v>
      </c>
      <c r="B16">
        <v>244.92</v>
      </c>
      <c r="C16">
        <v>39.479999999999997</v>
      </c>
      <c r="D16">
        <v>55.2</v>
      </c>
      <c r="E16" t="s">
        <v>11</v>
      </c>
      <c r="F16">
        <v>22.8</v>
      </c>
      <c r="G16">
        <v>55.2</v>
      </c>
      <c r="H16">
        <f t="shared" si="0"/>
        <v>0</v>
      </c>
      <c r="I16">
        <f t="shared" si="1"/>
        <v>1</v>
      </c>
      <c r="J16">
        <f t="shared" si="2"/>
        <v>0</v>
      </c>
      <c r="K16">
        <f t="shared" si="3"/>
        <v>0</v>
      </c>
      <c r="L16" s="4" t="s">
        <v>24</v>
      </c>
      <c r="M16" s="4">
        <v>5</v>
      </c>
      <c r="N16" s="4">
        <v>4638.1460733765525</v>
      </c>
      <c r="O16" s="4">
        <v>927.62921467531055</v>
      </c>
      <c r="P16" s="4">
        <v>56.903503264359145</v>
      </c>
      <c r="Q16" s="4">
        <v>3.1432408522940138E-36</v>
      </c>
    </row>
    <row r="17" spans="1:20" x14ac:dyDescent="0.2">
      <c r="A17">
        <v>16</v>
      </c>
      <c r="B17">
        <v>234.48</v>
      </c>
      <c r="C17">
        <v>57.24</v>
      </c>
      <c r="D17">
        <v>63.48</v>
      </c>
      <c r="E17" t="s">
        <v>11</v>
      </c>
      <c r="F17">
        <v>26.88</v>
      </c>
      <c r="G17">
        <v>63.48</v>
      </c>
      <c r="H17">
        <f t="shared" si="0"/>
        <v>0</v>
      </c>
      <c r="I17">
        <f t="shared" si="1"/>
        <v>1</v>
      </c>
      <c r="J17">
        <f t="shared" si="2"/>
        <v>0</v>
      </c>
      <c r="K17">
        <f t="shared" si="3"/>
        <v>0</v>
      </c>
      <c r="L17" s="4" t="s">
        <v>25</v>
      </c>
      <c r="M17" s="4">
        <v>194</v>
      </c>
      <c r="N17" s="4">
        <v>3162.5481266234478</v>
      </c>
      <c r="O17" s="4">
        <v>16.301794467131174</v>
      </c>
      <c r="P17" s="4"/>
      <c r="Q17" s="4"/>
    </row>
    <row r="18" spans="1:20" ht="16" thickBot="1" x14ac:dyDescent="0.25">
      <c r="A18">
        <v>17</v>
      </c>
      <c r="B18">
        <v>81.36</v>
      </c>
      <c r="C18">
        <v>43.92</v>
      </c>
      <c r="D18">
        <v>136.80000000000001</v>
      </c>
      <c r="E18" t="s">
        <v>7</v>
      </c>
      <c r="F18">
        <v>15</v>
      </c>
      <c r="G18">
        <v>136.80000000000001</v>
      </c>
      <c r="H18">
        <f t="shared" si="0"/>
        <v>1</v>
      </c>
      <c r="I18">
        <f t="shared" si="1"/>
        <v>0</v>
      </c>
      <c r="J18">
        <f t="shared" si="2"/>
        <v>0</v>
      </c>
      <c r="K18">
        <f t="shared" si="3"/>
        <v>0</v>
      </c>
      <c r="L18" s="5" t="s">
        <v>26</v>
      </c>
      <c r="M18" s="5">
        <v>199</v>
      </c>
      <c r="N18" s="5">
        <v>7800.6941999999999</v>
      </c>
      <c r="O18" s="5"/>
      <c r="P18" s="5"/>
      <c r="Q18" s="5"/>
    </row>
    <row r="19" spans="1:20" ht="16" thickBot="1" x14ac:dyDescent="0.25">
      <c r="A19">
        <v>18</v>
      </c>
      <c r="B19">
        <v>337.68</v>
      </c>
      <c r="C19">
        <v>47.52</v>
      </c>
      <c r="D19">
        <v>66.959999999999994</v>
      </c>
      <c r="E19" t="s">
        <v>18</v>
      </c>
      <c r="F19">
        <v>29.28</v>
      </c>
      <c r="G19">
        <v>66.959999999999994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1</v>
      </c>
    </row>
    <row r="20" spans="1:20" x14ac:dyDescent="0.2">
      <c r="A20">
        <v>19</v>
      </c>
      <c r="B20">
        <v>83.04</v>
      </c>
      <c r="C20">
        <v>24.6</v>
      </c>
      <c r="D20">
        <v>21.96</v>
      </c>
      <c r="E20" t="s">
        <v>11</v>
      </c>
      <c r="F20">
        <v>13.56</v>
      </c>
      <c r="G20">
        <v>21.96</v>
      </c>
      <c r="H20">
        <f t="shared" si="0"/>
        <v>0</v>
      </c>
      <c r="I20">
        <f t="shared" si="1"/>
        <v>1</v>
      </c>
      <c r="J20">
        <f t="shared" si="2"/>
        <v>0</v>
      </c>
      <c r="K20">
        <f t="shared" si="3"/>
        <v>0</v>
      </c>
      <c r="L20" s="6"/>
      <c r="M20" s="6" t="s">
        <v>27</v>
      </c>
      <c r="N20" s="6" t="s">
        <v>14</v>
      </c>
      <c r="O20" s="6" t="s">
        <v>28</v>
      </c>
      <c r="P20" s="6" t="s">
        <v>29</v>
      </c>
      <c r="Q20" s="6" t="s">
        <v>30</v>
      </c>
      <c r="R20" s="6" t="s">
        <v>31</v>
      </c>
      <c r="S20" s="6" t="s">
        <v>38</v>
      </c>
      <c r="T20" s="6" t="s">
        <v>39</v>
      </c>
    </row>
    <row r="21" spans="1:20" x14ac:dyDescent="0.2">
      <c r="A21">
        <v>20</v>
      </c>
      <c r="B21">
        <v>176.76</v>
      </c>
      <c r="C21">
        <v>28.68</v>
      </c>
      <c r="D21">
        <v>22.92</v>
      </c>
      <c r="E21" t="s">
        <v>6</v>
      </c>
      <c r="F21">
        <v>17.52</v>
      </c>
      <c r="G21">
        <v>22.92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 s="4" t="s">
        <v>33</v>
      </c>
      <c r="M21" s="4">
        <v>16.065294252102191</v>
      </c>
      <c r="N21" s="4">
        <v>0.74910314334364669</v>
      </c>
      <c r="O21" s="4">
        <v>21.446037698352484</v>
      </c>
      <c r="P21" s="4">
        <v>4.39583603860665E-53</v>
      </c>
      <c r="Q21" s="4">
        <v>14.587862443930295</v>
      </c>
      <c r="R21" s="4">
        <v>17.542726060274088</v>
      </c>
      <c r="S21" s="4">
        <v>14.587862443930295</v>
      </c>
      <c r="T21" s="4">
        <v>17.542726060274088</v>
      </c>
    </row>
    <row r="22" spans="1:20" x14ac:dyDescent="0.2">
      <c r="A22">
        <v>21</v>
      </c>
      <c r="B22">
        <v>262.08</v>
      </c>
      <c r="C22">
        <v>33.24</v>
      </c>
      <c r="D22">
        <v>64.08</v>
      </c>
      <c r="E22" t="s">
        <v>11</v>
      </c>
      <c r="F22">
        <v>21.6</v>
      </c>
      <c r="G22">
        <v>64.08</v>
      </c>
      <c r="H22">
        <f t="shared" si="0"/>
        <v>0</v>
      </c>
      <c r="I22">
        <f t="shared" si="1"/>
        <v>1</v>
      </c>
      <c r="J22">
        <f t="shared" si="2"/>
        <v>0</v>
      </c>
      <c r="K22">
        <f t="shared" si="3"/>
        <v>0</v>
      </c>
      <c r="L22" s="4" t="s">
        <v>3</v>
      </c>
      <c r="M22" s="4">
        <v>0.10682255759946567</v>
      </c>
      <c r="N22" s="4">
        <v>1.1515556204859259E-2</v>
      </c>
      <c r="O22" s="4">
        <v>9.2763697818077926</v>
      </c>
      <c r="P22" s="4">
        <v>3.496392558549405E-17</v>
      </c>
      <c r="Q22" s="4">
        <v>8.4110799976996983E-2</v>
      </c>
      <c r="R22" s="4">
        <v>0.12953431522193437</v>
      </c>
      <c r="S22" s="4">
        <v>8.4110799976996983E-2</v>
      </c>
      <c r="T22" s="4">
        <v>0.12953431522193437</v>
      </c>
    </row>
    <row r="23" spans="1:20" x14ac:dyDescent="0.2">
      <c r="A23">
        <v>22</v>
      </c>
      <c r="B23">
        <v>284.88</v>
      </c>
      <c r="C23">
        <v>6.12</v>
      </c>
      <c r="D23">
        <v>28.2</v>
      </c>
      <c r="E23" t="s">
        <v>18</v>
      </c>
      <c r="F23">
        <v>15</v>
      </c>
      <c r="G23">
        <v>28.2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  <c r="L23" s="4" t="s">
        <v>34</v>
      </c>
      <c r="M23" s="4">
        <v>-9.8221921717742351</v>
      </c>
      <c r="N23" s="4">
        <v>0.89855224538589662</v>
      </c>
      <c r="O23" s="4">
        <v>-10.931130852114167</v>
      </c>
      <c r="P23" s="4">
        <v>5.5785313993119609E-22</v>
      </c>
      <c r="Q23" s="4">
        <v>-11.594377591677617</v>
      </c>
      <c r="R23" s="4">
        <v>-8.0500067518708533</v>
      </c>
      <c r="S23" s="4">
        <v>-11.594377591677617</v>
      </c>
      <c r="T23" s="4">
        <v>-8.0500067518708533</v>
      </c>
    </row>
    <row r="24" spans="1:20" x14ac:dyDescent="0.2">
      <c r="A24">
        <v>23</v>
      </c>
      <c r="B24">
        <v>15.84</v>
      </c>
      <c r="C24">
        <v>19.079999999999998</v>
      </c>
      <c r="D24">
        <v>59.52</v>
      </c>
      <c r="E24" t="s">
        <v>7</v>
      </c>
      <c r="F24">
        <v>6.72</v>
      </c>
      <c r="G24">
        <v>59.52</v>
      </c>
      <c r="H24">
        <f t="shared" si="0"/>
        <v>1</v>
      </c>
      <c r="I24">
        <f t="shared" si="1"/>
        <v>0</v>
      </c>
      <c r="J24">
        <f t="shared" si="2"/>
        <v>0</v>
      </c>
      <c r="K24">
        <f t="shared" si="3"/>
        <v>0</v>
      </c>
      <c r="L24" s="4" t="s">
        <v>35</v>
      </c>
      <c r="M24" s="4">
        <v>-3.1848110642474774</v>
      </c>
      <c r="N24" s="4">
        <v>0.89825318619307526</v>
      </c>
      <c r="O24" s="4">
        <v>-3.5455605537511752</v>
      </c>
      <c r="P24" s="4">
        <v>4.9106309822071999E-4</v>
      </c>
      <c r="Q24" s="4">
        <v>-4.9564066594145366</v>
      </c>
      <c r="R24" s="4">
        <v>-1.4132154690804182</v>
      </c>
      <c r="S24" s="4">
        <v>-4.9564066594145366</v>
      </c>
      <c r="T24" s="4">
        <v>-1.4132154690804182</v>
      </c>
    </row>
    <row r="25" spans="1:20" x14ac:dyDescent="0.2">
      <c r="A25">
        <v>24</v>
      </c>
      <c r="B25">
        <v>273.95999999999998</v>
      </c>
      <c r="C25">
        <v>20.28</v>
      </c>
      <c r="D25">
        <v>31.44</v>
      </c>
      <c r="E25" t="s">
        <v>11</v>
      </c>
      <c r="F25">
        <v>18.600000000000001</v>
      </c>
      <c r="G25">
        <v>31.44</v>
      </c>
      <c r="H25">
        <f t="shared" si="0"/>
        <v>0</v>
      </c>
      <c r="I25">
        <f t="shared" si="1"/>
        <v>1</v>
      </c>
      <c r="J25">
        <f t="shared" si="2"/>
        <v>0</v>
      </c>
      <c r="K25">
        <f t="shared" si="3"/>
        <v>0</v>
      </c>
      <c r="L25" s="4" t="s">
        <v>36</v>
      </c>
      <c r="M25" s="4">
        <v>-6.6961237888452887</v>
      </c>
      <c r="N25" s="4">
        <v>0.96295082920754627</v>
      </c>
      <c r="O25" s="4">
        <v>-6.9537546318494972</v>
      </c>
      <c r="P25" s="4">
        <v>5.2964319357702911E-11</v>
      </c>
      <c r="Q25" s="4">
        <v>-8.5953204447643792</v>
      </c>
      <c r="R25" s="4">
        <v>-4.7969271329261991</v>
      </c>
      <c r="S25" s="4">
        <v>-8.5953204447643792</v>
      </c>
      <c r="T25" s="4">
        <v>-4.7969271329261991</v>
      </c>
    </row>
    <row r="26" spans="1:20" ht="16" thickBot="1" x14ac:dyDescent="0.25">
      <c r="A26">
        <v>25</v>
      </c>
      <c r="B26">
        <v>74.760000000000005</v>
      </c>
      <c r="C26">
        <v>15.12</v>
      </c>
      <c r="D26">
        <v>21.96</v>
      </c>
      <c r="E26" t="s">
        <v>15</v>
      </c>
      <c r="F26">
        <v>11.64</v>
      </c>
      <c r="G26">
        <v>21.96</v>
      </c>
      <c r="H26">
        <f t="shared" si="0"/>
        <v>0</v>
      </c>
      <c r="I26">
        <f t="shared" si="1"/>
        <v>0</v>
      </c>
      <c r="J26">
        <f t="shared" si="2"/>
        <v>1</v>
      </c>
      <c r="K26">
        <f t="shared" si="3"/>
        <v>0</v>
      </c>
      <c r="L26" s="5" t="s">
        <v>37</v>
      </c>
      <c r="M26" s="5">
        <v>3.3964018148894666</v>
      </c>
      <c r="N26" s="5">
        <v>0.88973937001300907</v>
      </c>
      <c r="O26" s="5">
        <v>3.8172996827596908</v>
      </c>
      <c r="P26" s="5">
        <v>1.814046091605221E-4</v>
      </c>
      <c r="Q26" s="5">
        <v>1.6415977429527244</v>
      </c>
      <c r="R26" s="5">
        <v>5.1512058868262089</v>
      </c>
      <c r="S26" s="5">
        <v>1.6415977429527244</v>
      </c>
      <c r="T26" s="5">
        <v>5.1512058868262089</v>
      </c>
    </row>
    <row r="27" spans="1:20" x14ac:dyDescent="0.2">
      <c r="A27">
        <v>26</v>
      </c>
      <c r="B27">
        <v>315.48</v>
      </c>
      <c r="C27">
        <v>4.2</v>
      </c>
      <c r="D27">
        <v>23.4</v>
      </c>
      <c r="E27" t="s">
        <v>11</v>
      </c>
      <c r="F27">
        <v>14.4</v>
      </c>
      <c r="G27">
        <v>23.4</v>
      </c>
      <c r="H27">
        <f t="shared" si="0"/>
        <v>0</v>
      </c>
      <c r="I27">
        <f t="shared" si="1"/>
        <v>1</v>
      </c>
      <c r="J27">
        <f t="shared" si="2"/>
        <v>0</v>
      </c>
      <c r="K27">
        <f t="shared" si="3"/>
        <v>0</v>
      </c>
    </row>
    <row r="28" spans="1:20" x14ac:dyDescent="0.2">
      <c r="A28">
        <v>27</v>
      </c>
      <c r="B28">
        <v>171.48</v>
      </c>
      <c r="C28">
        <v>35.159999999999997</v>
      </c>
      <c r="D28">
        <v>15.12</v>
      </c>
      <c r="E28" t="s">
        <v>6</v>
      </c>
      <c r="F28">
        <v>18</v>
      </c>
      <c r="G28">
        <v>15.12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</row>
    <row r="29" spans="1:20" x14ac:dyDescent="0.2">
      <c r="A29">
        <v>28</v>
      </c>
      <c r="B29">
        <v>288.12</v>
      </c>
      <c r="C29">
        <v>20.04</v>
      </c>
      <c r="D29">
        <v>27.48</v>
      </c>
      <c r="E29" t="s">
        <v>6</v>
      </c>
      <c r="F29">
        <v>19.079999999999998</v>
      </c>
      <c r="G29">
        <v>27.48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</row>
    <row r="30" spans="1:20" x14ac:dyDescent="0.2">
      <c r="A30">
        <v>29</v>
      </c>
      <c r="B30">
        <v>298.56</v>
      </c>
      <c r="C30">
        <v>32.520000000000003</v>
      </c>
      <c r="D30">
        <v>27.48</v>
      </c>
      <c r="E30" t="s">
        <v>11</v>
      </c>
      <c r="F30">
        <v>22.68</v>
      </c>
      <c r="G30">
        <v>27.48</v>
      </c>
      <c r="H30">
        <f t="shared" si="0"/>
        <v>0</v>
      </c>
      <c r="I30">
        <f t="shared" si="1"/>
        <v>1</v>
      </c>
      <c r="J30">
        <f t="shared" si="2"/>
        <v>0</v>
      </c>
      <c r="K30">
        <f t="shared" si="3"/>
        <v>0</v>
      </c>
    </row>
    <row r="31" spans="1:20" x14ac:dyDescent="0.2">
      <c r="A31">
        <v>30</v>
      </c>
      <c r="B31">
        <v>84.72</v>
      </c>
      <c r="C31">
        <v>19.2</v>
      </c>
      <c r="D31">
        <v>48.96</v>
      </c>
      <c r="E31" t="s">
        <v>7</v>
      </c>
      <c r="F31">
        <v>12.6</v>
      </c>
      <c r="G31">
        <v>48.96</v>
      </c>
      <c r="H31">
        <f t="shared" si="0"/>
        <v>1</v>
      </c>
      <c r="I31">
        <f t="shared" si="1"/>
        <v>0</v>
      </c>
      <c r="J31">
        <f t="shared" si="2"/>
        <v>0</v>
      </c>
      <c r="K31">
        <f t="shared" si="3"/>
        <v>0</v>
      </c>
    </row>
    <row r="32" spans="1:20" x14ac:dyDescent="0.2">
      <c r="A32">
        <v>31</v>
      </c>
      <c r="B32">
        <v>351.48</v>
      </c>
      <c r="C32">
        <v>33.96</v>
      </c>
      <c r="D32">
        <v>51.84</v>
      </c>
      <c r="E32" t="s">
        <v>6</v>
      </c>
      <c r="F32">
        <v>25.68</v>
      </c>
      <c r="G32">
        <v>51.84</v>
      </c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</row>
    <row r="33" spans="1:11" x14ac:dyDescent="0.2">
      <c r="A33">
        <v>32</v>
      </c>
      <c r="B33">
        <v>135.47999999999999</v>
      </c>
      <c r="C33">
        <v>20.88</v>
      </c>
      <c r="D33">
        <v>46.32</v>
      </c>
      <c r="E33" t="s">
        <v>15</v>
      </c>
      <c r="F33">
        <v>14.28</v>
      </c>
      <c r="G33">
        <v>46.32</v>
      </c>
      <c r="H33">
        <f t="shared" si="0"/>
        <v>0</v>
      </c>
      <c r="I33">
        <f t="shared" si="1"/>
        <v>0</v>
      </c>
      <c r="J33">
        <f t="shared" si="2"/>
        <v>1</v>
      </c>
      <c r="K33">
        <f t="shared" si="3"/>
        <v>0</v>
      </c>
    </row>
    <row r="34" spans="1:11" x14ac:dyDescent="0.2">
      <c r="A34">
        <v>33</v>
      </c>
      <c r="B34">
        <v>116.64</v>
      </c>
      <c r="C34">
        <v>1.8</v>
      </c>
      <c r="D34">
        <v>36</v>
      </c>
      <c r="E34" t="s">
        <v>7</v>
      </c>
      <c r="F34">
        <v>11.52</v>
      </c>
      <c r="G34">
        <v>36</v>
      </c>
      <c r="H34">
        <f t="shared" si="0"/>
        <v>1</v>
      </c>
      <c r="I34">
        <f t="shared" si="1"/>
        <v>0</v>
      </c>
      <c r="J34">
        <f t="shared" si="2"/>
        <v>0</v>
      </c>
      <c r="K34">
        <f t="shared" si="3"/>
        <v>0</v>
      </c>
    </row>
    <row r="35" spans="1:11" x14ac:dyDescent="0.2">
      <c r="A35">
        <v>34</v>
      </c>
      <c r="B35">
        <v>318.72000000000003</v>
      </c>
      <c r="C35">
        <v>24</v>
      </c>
      <c r="D35">
        <v>0.36</v>
      </c>
      <c r="E35" t="s">
        <v>18</v>
      </c>
      <c r="F35">
        <v>20.88</v>
      </c>
      <c r="G35">
        <v>0.36</v>
      </c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1</v>
      </c>
    </row>
    <row r="36" spans="1:11" x14ac:dyDescent="0.2">
      <c r="A36">
        <v>35</v>
      </c>
      <c r="B36">
        <v>114.84</v>
      </c>
      <c r="C36">
        <v>1.68</v>
      </c>
      <c r="D36">
        <v>8.8800000000000008</v>
      </c>
      <c r="E36" t="s">
        <v>18</v>
      </c>
      <c r="F36">
        <v>11.4</v>
      </c>
      <c r="G36">
        <v>8.8800000000000008</v>
      </c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1</v>
      </c>
    </row>
    <row r="37" spans="1:11" x14ac:dyDescent="0.2">
      <c r="A37">
        <v>36</v>
      </c>
      <c r="B37">
        <v>348.84</v>
      </c>
      <c r="C37">
        <v>4.92</v>
      </c>
      <c r="D37">
        <v>10.199999999999999</v>
      </c>
      <c r="E37" t="s">
        <v>6</v>
      </c>
      <c r="F37">
        <v>15.36</v>
      </c>
      <c r="G37">
        <v>10.199999999999999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</row>
    <row r="38" spans="1:11" x14ac:dyDescent="0.2">
      <c r="A38">
        <v>37</v>
      </c>
      <c r="B38">
        <v>320.27999999999997</v>
      </c>
      <c r="C38">
        <v>52.56</v>
      </c>
      <c r="D38">
        <v>6</v>
      </c>
      <c r="E38" t="s">
        <v>18</v>
      </c>
      <c r="F38">
        <v>30.48</v>
      </c>
      <c r="G38">
        <v>6</v>
      </c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1</v>
      </c>
    </row>
    <row r="39" spans="1:11" x14ac:dyDescent="0.2">
      <c r="A39">
        <v>38</v>
      </c>
      <c r="B39">
        <v>89.64</v>
      </c>
      <c r="C39">
        <v>59.28</v>
      </c>
      <c r="D39">
        <v>54.84</v>
      </c>
      <c r="E39" t="s">
        <v>7</v>
      </c>
      <c r="F39">
        <v>17.64</v>
      </c>
      <c r="G39">
        <v>54.84</v>
      </c>
      <c r="H39">
        <f t="shared" si="0"/>
        <v>1</v>
      </c>
      <c r="I39">
        <f t="shared" si="1"/>
        <v>0</v>
      </c>
      <c r="J39">
        <f t="shared" si="2"/>
        <v>0</v>
      </c>
      <c r="K39">
        <f t="shared" si="3"/>
        <v>0</v>
      </c>
    </row>
    <row r="40" spans="1:11" x14ac:dyDescent="0.2">
      <c r="A40">
        <v>39</v>
      </c>
      <c r="B40">
        <v>51.72</v>
      </c>
      <c r="C40">
        <v>32.04</v>
      </c>
      <c r="D40">
        <v>42.12</v>
      </c>
      <c r="E40" t="s">
        <v>15</v>
      </c>
      <c r="F40">
        <v>12.12</v>
      </c>
      <c r="G40">
        <v>42.12</v>
      </c>
      <c r="H40">
        <f t="shared" si="0"/>
        <v>0</v>
      </c>
      <c r="I40">
        <f t="shared" si="1"/>
        <v>0</v>
      </c>
      <c r="J40">
        <f t="shared" si="2"/>
        <v>1</v>
      </c>
      <c r="K40">
        <f t="shared" si="3"/>
        <v>0</v>
      </c>
    </row>
    <row r="41" spans="1:11" x14ac:dyDescent="0.2">
      <c r="A41">
        <v>40</v>
      </c>
      <c r="B41">
        <v>273.60000000000002</v>
      </c>
      <c r="C41">
        <v>45.24</v>
      </c>
      <c r="D41">
        <v>38.4</v>
      </c>
      <c r="E41" t="s">
        <v>6</v>
      </c>
      <c r="F41">
        <v>25.8</v>
      </c>
      <c r="G41">
        <v>38.4</v>
      </c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0</v>
      </c>
    </row>
    <row r="42" spans="1:11" x14ac:dyDescent="0.2">
      <c r="A42">
        <v>41</v>
      </c>
      <c r="B42">
        <v>243</v>
      </c>
      <c r="C42">
        <v>26.76</v>
      </c>
      <c r="D42">
        <v>37.92</v>
      </c>
      <c r="E42" t="s">
        <v>18</v>
      </c>
      <c r="F42">
        <v>19.920000000000002</v>
      </c>
      <c r="G42">
        <v>37.92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1</v>
      </c>
    </row>
    <row r="43" spans="1:11" x14ac:dyDescent="0.2">
      <c r="A43">
        <v>42</v>
      </c>
      <c r="B43">
        <v>212.4</v>
      </c>
      <c r="C43">
        <v>40.08</v>
      </c>
      <c r="D43">
        <v>46.44</v>
      </c>
      <c r="E43" t="s">
        <v>6</v>
      </c>
      <c r="F43">
        <v>20.52</v>
      </c>
      <c r="G43">
        <v>46.44</v>
      </c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0</v>
      </c>
    </row>
    <row r="44" spans="1:11" x14ac:dyDescent="0.2">
      <c r="A44">
        <v>43</v>
      </c>
      <c r="B44">
        <v>352.32</v>
      </c>
      <c r="C44">
        <v>33.24</v>
      </c>
      <c r="D44">
        <v>2.16</v>
      </c>
      <c r="E44" t="s">
        <v>18</v>
      </c>
      <c r="F44">
        <v>24.84</v>
      </c>
      <c r="G44">
        <v>2.16</v>
      </c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1</v>
      </c>
    </row>
    <row r="45" spans="1:11" x14ac:dyDescent="0.2">
      <c r="A45">
        <v>44</v>
      </c>
      <c r="B45">
        <v>248.28</v>
      </c>
      <c r="C45">
        <v>10.08</v>
      </c>
      <c r="D45">
        <v>31.68</v>
      </c>
      <c r="E45" t="s">
        <v>6</v>
      </c>
      <c r="F45">
        <v>15.48</v>
      </c>
      <c r="G45">
        <v>31.68</v>
      </c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0</v>
      </c>
    </row>
    <row r="46" spans="1:11" x14ac:dyDescent="0.2">
      <c r="A46">
        <v>45</v>
      </c>
      <c r="B46">
        <v>30.12</v>
      </c>
      <c r="C46">
        <v>30.84</v>
      </c>
      <c r="D46">
        <v>51.96</v>
      </c>
      <c r="E46" t="s">
        <v>7</v>
      </c>
      <c r="F46">
        <v>10.199999999999999</v>
      </c>
      <c r="G46">
        <v>51.96</v>
      </c>
      <c r="H46">
        <f t="shared" si="0"/>
        <v>1</v>
      </c>
      <c r="I46">
        <f t="shared" si="1"/>
        <v>0</v>
      </c>
      <c r="J46">
        <f t="shared" si="2"/>
        <v>0</v>
      </c>
      <c r="K46">
        <f t="shared" si="3"/>
        <v>0</v>
      </c>
    </row>
    <row r="47" spans="1:11" x14ac:dyDescent="0.2">
      <c r="A47">
        <v>46</v>
      </c>
      <c r="B47">
        <v>210.12</v>
      </c>
      <c r="C47">
        <v>27</v>
      </c>
      <c r="D47">
        <v>37.799999999999997</v>
      </c>
      <c r="E47" t="s">
        <v>11</v>
      </c>
      <c r="F47">
        <v>17.88</v>
      </c>
      <c r="G47">
        <v>37.799999999999997</v>
      </c>
      <c r="H47">
        <f t="shared" si="0"/>
        <v>0</v>
      </c>
      <c r="I47">
        <f t="shared" si="1"/>
        <v>1</v>
      </c>
      <c r="J47">
        <f t="shared" si="2"/>
        <v>0</v>
      </c>
      <c r="K47">
        <f t="shared" si="3"/>
        <v>0</v>
      </c>
    </row>
    <row r="48" spans="1:11" x14ac:dyDescent="0.2">
      <c r="A48">
        <v>47</v>
      </c>
      <c r="B48">
        <v>107.64</v>
      </c>
      <c r="C48">
        <v>11.88</v>
      </c>
      <c r="D48">
        <v>42.84</v>
      </c>
      <c r="E48" t="s">
        <v>7</v>
      </c>
      <c r="F48">
        <v>12.72</v>
      </c>
      <c r="G48">
        <v>42.84</v>
      </c>
      <c r="H48">
        <f t="shared" si="0"/>
        <v>1</v>
      </c>
      <c r="I48">
        <f t="shared" si="1"/>
        <v>0</v>
      </c>
      <c r="J48">
        <f t="shared" si="2"/>
        <v>0</v>
      </c>
      <c r="K48">
        <f t="shared" si="3"/>
        <v>0</v>
      </c>
    </row>
    <row r="49" spans="1:11" x14ac:dyDescent="0.2">
      <c r="A49">
        <v>48</v>
      </c>
      <c r="B49">
        <v>287.88</v>
      </c>
      <c r="C49">
        <v>49.8</v>
      </c>
      <c r="D49">
        <v>22.2</v>
      </c>
      <c r="E49" t="s">
        <v>18</v>
      </c>
      <c r="F49">
        <v>27.84</v>
      </c>
      <c r="G49">
        <v>22.2</v>
      </c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1</v>
      </c>
    </row>
    <row r="50" spans="1:11" x14ac:dyDescent="0.2">
      <c r="A50">
        <v>49</v>
      </c>
      <c r="B50">
        <v>272.64</v>
      </c>
      <c r="C50">
        <v>18.96</v>
      </c>
      <c r="D50">
        <v>59.88</v>
      </c>
      <c r="E50" t="s">
        <v>15</v>
      </c>
      <c r="F50">
        <v>17.760000000000002</v>
      </c>
      <c r="G50">
        <v>59.88</v>
      </c>
      <c r="H50">
        <f t="shared" si="0"/>
        <v>0</v>
      </c>
      <c r="I50">
        <f t="shared" si="1"/>
        <v>0</v>
      </c>
      <c r="J50">
        <f t="shared" si="2"/>
        <v>1</v>
      </c>
      <c r="K50">
        <f t="shared" si="3"/>
        <v>0</v>
      </c>
    </row>
    <row r="51" spans="1:11" x14ac:dyDescent="0.2">
      <c r="A51">
        <v>50</v>
      </c>
      <c r="B51">
        <v>80.28</v>
      </c>
      <c r="C51">
        <v>14.04</v>
      </c>
      <c r="D51">
        <v>44.16</v>
      </c>
      <c r="E51" t="s">
        <v>15</v>
      </c>
      <c r="F51">
        <v>11.64</v>
      </c>
      <c r="G51">
        <v>44.16</v>
      </c>
      <c r="H51">
        <f t="shared" si="0"/>
        <v>0</v>
      </c>
      <c r="I51">
        <f t="shared" si="1"/>
        <v>0</v>
      </c>
      <c r="J51">
        <f t="shared" si="2"/>
        <v>1</v>
      </c>
      <c r="K51">
        <f t="shared" si="3"/>
        <v>0</v>
      </c>
    </row>
    <row r="52" spans="1:11" x14ac:dyDescent="0.2">
      <c r="A52">
        <v>51</v>
      </c>
      <c r="B52">
        <v>239.76</v>
      </c>
      <c r="C52">
        <v>3.72</v>
      </c>
      <c r="D52">
        <v>41.52</v>
      </c>
      <c r="E52" t="s">
        <v>15</v>
      </c>
      <c r="F52">
        <v>13.68</v>
      </c>
      <c r="G52">
        <v>41.52</v>
      </c>
      <c r="H52">
        <f t="shared" si="0"/>
        <v>0</v>
      </c>
      <c r="I52">
        <f t="shared" si="1"/>
        <v>0</v>
      </c>
      <c r="J52">
        <f t="shared" si="2"/>
        <v>1</v>
      </c>
      <c r="K52">
        <f t="shared" si="3"/>
        <v>0</v>
      </c>
    </row>
    <row r="53" spans="1:11" x14ac:dyDescent="0.2">
      <c r="A53">
        <v>52</v>
      </c>
      <c r="B53">
        <v>120.48</v>
      </c>
      <c r="C53">
        <v>11.52</v>
      </c>
      <c r="D53">
        <v>4.32</v>
      </c>
      <c r="E53" t="s">
        <v>18</v>
      </c>
      <c r="F53">
        <v>12.84</v>
      </c>
      <c r="G53">
        <v>4.32</v>
      </c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1</v>
      </c>
    </row>
    <row r="54" spans="1:11" x14ac:dyDescent="0.2">
      <c r="A54">
        <v>53</v>
      </c>
      <c r="B54">
        <v>259.68</v>
      </c>
      <c r="C54">
        <v>50.04</v>
      </c>
      <c r="D54">
        <v>47.52</v>
      </c>
      <c r="E54" t="s">
        <v>18</v>
      </c>
      <c r="F54">
        <v>27.12</v>
      </c>
      <c r="G54">
        <v>47.52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1</v>
      </c>
    </row>
    <row r="55" spans="1:11" x14ac:dyDescent="0.2">
      <c r="A55">
        <v>54</v>
      </c>
      <c r="B55">
        <v>219.12</v>
      </c>
      <c r="C55">
        <v>55.44</v>
      </c>
      <c r="D55">
        <v>70.44</v>
      </c>
      <c r="E55" t="s">
        <v>18</v>
      </c>
      <c r="F55">
        <v>25.44</v>
      </c>
      <c r="G55">
        <v>70.44</v>
      </c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1</v>
      </c>
    </row>
    <row r="56" spans="1:11" x14ac:dyDescent="0.2">
      <c r="A56">
        <v>55</v>
      </c>
      <c r="B56">
        <v>315.24</v>
      </c>
      <c r="C56">
        <v>34.56</v>
      </c>
      <c r="D56">
        <v>19.079999999999998</v>
      </c>
      <c r="E56" t="s">
        <v>18</v>
      </c>
      <c r="F56">
        <v>24.24</v>
      </c>
      <c r="G56">
        <v>19.079999999999998</v>
      </c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1</v>
      </c>
    </row>
    <row r="57" spans="1:11" x14ac:dyDescent="0.2">
      <c r="A57">
        <v>56</v>
      </c>
      <c r="B57">
        <v>238.68</v>
      </c>
      <c r="C57">
        <v>59.28</v>
      </c>
      <c r="D57">
        <v>72</v>
      </c>
      <c r="E57" t="s">
        <v>6</v>
      </c>
      <c r="F57">
        <v>28.44</v>
      </c>
      <c r="G57">
        <v>72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</row>
    <row r="58" spans="1:11" x14ac:dyDescent="0.2">
      <c r="A58">
        <v>57</v>
      </c>
      <c r="B58">
        <v>8.76</v>
      </c>
      <c r="C58">
        <v>33.72</v>
      </c>
      <c r="D58">
        <v>49.68</v>
      </c>
      <c r="E58" t="s">
        <v>7</v>
      </c>
      <c r="F58">
        <v>6.6</v>
      </c>
      <c r="G58">
        <v>49.68</v>
      </c>
      <c r="H58">
        <f t="shared" si="0"/>
        <v>1</v>
      </c>
      <c r="I58">
        <f t="shared" si="1"/>
        <v>0</v>
      </c>
      <c r="J58">
        <f t="shared" si="2"/>
        <v>0</v>
      </c>
      <c r="K58">
        <f t="shared" si="3"/>
        <v>0</v>
      </c>
    </row>
    <row r="59" spans="1:11" x14ac:dyDescent="0.2">
      <c r="A59">
        <v>58</v>
      </c>
      <c r="B59">
        <v>163.44</v>
      </c>
      <c r="C59">
        <v>23.04</v>
      </c>
      <c r="D59">
        <v>19.920000000000002</v>
      </c>
      <c r="E59" t="s">
        <v>6</v>
      </c>
      <c r="F59">
        <v>15.84</v>
      </c>
      <c r="G59">
        <v>19.920000000000002</v>
      </c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</row>
    <row r="60" spans="1:11" x14ac:dyDescent="0.2">
      <c r="A60">
        <v>59</v>
      </c>
      <c r="B60">
        <v>252.96</v>
      </c>
      <c r="C60">
        <v>59.52</v>
      </c>
      <c r="D60">
        <v>45.24</v>
      </c>
      <c r="E60" t="s">
        <v>6</v>
      </c>
      <c r="F60">
        <v>28.56</v>
      </c>
      <c r="G60">
        <v>45.24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</row>
    <row r="61" spans="1:11" x14ac:dyDescent="0.2">
      <c r="A61">
        <v>60</v>
      </c>
      <c r="B61">
        <v>252.84</v>
      </c>
      <c r="C61">
        <v>35.4</v>
      </c>
      <c r="D61">
        <v>11.16</v>
      </c>
      <c r="E61" t="s">
        <v>11</v>
      </c>
      <c r="F61">
        <v>22.08</v>
      </c>
      <c r="G61">
        <v>11.16</v>
      </c>
      <c r="H61">
        <f t="shared" si="0"/>
        <v>0</v>
      </c>
      <c r="I61">
        <f t="shared" si="1"/>
        <v>1</v>
      </c>
      <c r="J61">
        <f t="shared" si="2"/>
        <v>0</v>
      </c>
      <c r="K61">
        <f t="shared" si="3"/>
        <v>0</v>
      </c>
    </row>
    <row r="62" spans="1:11" x14ac:dyDescent="0.2">
      <c r="A62">
        <v>61</v>
      </c>
      <c r="B62">
        <v>64.2</v>
      </c>
      <c r="C62">
        <v>2.4</v>
      </c>
      <c r="D62">
        <v>25.68</v>
      </c>
      <c r="E62" t="s">
        <v>7</v>
      </c>
      <c r="F62">
        <v>9.7200000000000006</v>
      </c>
      <c r="G62">
        <v>25.68</v>
      </c>
      <c r="H62">
        <f t="shared" si="0"/>
        <v>1</v>
      </c>
      <c r="I62">
        <f t="shared" si="1"/>
        <v>0</v>
      </c>
      <c r="J62">
        <f t="shared" si="2"/>
        <v>0</v>
      </c>
      <c r="K62">
        <f t="shared" si="3"/>
        <v>0</v>
      </c>
    </row>
    <row r="63" spans="1:11" x14ac:dyDescent="0.2">
      <c r="A63">
        <v>62</v>
      </c>
      <c r="B63">
        <v>313.56</v>
      </c>
      <c r="C63">
        <v>51.24</v>
      </c>
      <c r="D63">
        <v>65.64</v>
      </c>
      <c r="E63" t="s">
        <v>18</v>
      </c>
      <c r="F63">
        <v>29.04</v>
      </c>
      <c r="G63">
        <v>65.64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1</v>
      </c>
    </row>
    <row r="64" spans="1:11" x14ac:dyDescent="0.2">
      <c r="A64">
        <v>63</v>
      </c>
      <c r="B64">
        <v>287.16000000000003</v>
      </c>
      <c r="C64">
        <v>18.600000000000001</v>
      </c>
      <c r="D64">
        <v>32.76</v>
      </c>
      <c r="E64" t="s">
        <v>11</v>
      </c>
      <c r="F64">
        <v>18.84</v>
      </c>
      <c r="G64">
        <v>32.76</v>
      </c>
      <c r="H64">
        <f t="shared" si="0"/>
        <v>0</v>
      </c>
      <c r="I64">
        <f t="shared" si="1"/>
        <v>1</v>
      </c>
      <c r="J64">
        <f t="shared" si="2"/>
        <v>0</v>
      </c>
      <c r="K64">
        <f t="shared" si="3"/>
        <v>0</v>
      </c>
    </row>
    <row r="65" spans="1:11" x14ac:dyDescent="0.2">
      <c r="A65">
        <v>64</v>
      </c>
      <c r="B65">
        <v>123.24</v>
      </c>
      <c r="C65">
        <v>35.520000000000003</v>
      </c>
      <c r="D65">
        <v>10.08</v>
      </c>
      <c r="E65" t="s">
        <v>11</v>
      </c>
      <c r="F65">
        <v>16.8</v>
      </c>
      <c r="G65">
        <v>10.08</v>
      </c>
      <c r="H65">
        <f t="shared" si="0"/>
        <v>0</v>
      </c>
      <c r="I65">
        <f t="shared" si="1"/>
        <v>1</v>
      </c>
      <c r="J65">
        <f t="shared" si="2"/>
        <v>0</v>
      </c>
      <c r="K65">
        <f t="shared" si="3"/>
        <v>0</v>
      </c>
    </row>
    <row r="66" spans="1:11" x14ac:dyDescent="0.2">
      <c r="A66">
        <v>65</v>
      </c>
      <c r="B66">
        <v>157.32</v>
      </c>
      <c r="C66">
        <v>51.36</v>
      </c>
      <c r="D66">
        <v>34.68</v>
      </c>
      <c r="E66" t="s">
        <v>18</v>
      </c>
      <c r="F66">
        <v>21.6</v>
      </c>
      <c r="G66">
        <v>34.68</v>
      </c>
      <c r="H66">
        <f t="shared" si="0"/>
        <v>0</v>
      </c>
      <c r="I66">
        <f t="shared" si="1"/>
        <v>0</v>
      </c>
      <c r="J66">
        <f t="shared" si="2"/>
        <v>0</v>
      </c>
      <c r="K66">
        <f t="shared" si="3"/>
        <v>1</v>
      </c>
    </row>
    <row r="67" spans="1:11" x14ac:dyDescent="0.2">
      <c r="A67">
        <v>66</v>
      </c>
      <c r="B67">
        <v>82.8</v>
      </c>
      <c r="C67">
        <v>11.16</v>
      </c>
      <c r="D67">
        <v>1.08</v>
      </c>
      <c r="E67" t="s">
        <v>11</v>
      </c>
      <c r="F67">
        <v>11.16</v>
      </c>
      <c r="G67">
        <v>1.08</v>
      </c>
      <c r="H67">
        <f t="shared" ref="H67:H130" si="4">IF(E67="atlanta",1,0)</f>
        <v>0</v>
      </c>
      <c r="I67">
        <f t="shared" ref="I67:I130" si="5">IF(E67="los angeles",1,0)</f>
        <v>1</v>
      </c>
      <c r="J67">
        <f t="shared" ref="J67:J130" si="6">IF(E67="chicago",1,0)</f>
        <v>0</v>
      </c>
      <c r="K67">
        <f t="shared" ref="K67:K130" si="7">IF(E67="houston",1,0)</f>
        <v>0</v>
      </c>
    </row>
    <row r="68" spans="1:11" x14ac:dyDescent="0.2">
      <c r="A68">
        <v>67</v>
      </c>
      <c r="B68">
        <v>37.799999999999997</v>
      </c>
      <c r="C68">
        <v>29.52</v>
      </c>
      <c r="D68">
        <v>2.64</v>
      </c>
      <c r="E68" t="s">
        <v>11</v>
      </c>
      <c r="F68">
        <v>11.4</v>
      </c>
      <c r="G68">
        <v>2.64</v>
      </c>
      <c r="H68">
        <f t="shared" si="4"/>
        <v>0</v>
      </c>
      <c r="I68">
        <f t="shared" si="5"/>
        <v>1</v>
      </c>
      <c r="J68">
        <f t="shared" si="6"/>
        <v>0</v>
      </c>
      <c r="K68">
        <f t="shared" si="7"/>
        <v>0</v>
      </c>
    </row>
    <row r="69" spans="1:11" x14ac:dyDescent="0.2">
      <c r="A69">
        <v>68</v>
      </c>
      <c r="B69">
        <v>167.16</v>
      </c>
      <c r="C69">
        <v>17.399999999999999</v>
      </c>
      <c r="D69">
        <v>12.24</v>
      </c>
      <c r="E69" t="s">
        <v>6</v>
      </c>
      <c r="F69">
        <v>16.079999999999998</v>
      </c>
      <c r="G69">
        <v>12.24</v>
      </c>
      <c r="H69">
        <f t="shared" si="4"/>
        <v>0</v>
      </c>
      <c r="I69">
        <f t="shared" si="5"/>
        <v>0</v>
      </c>
      <c r="J69">
        <f t="shared" si="6"/>
        <v>0</v>
      </c>
      <c r="K69">
        <f t="shared" si="7"/>
        <v>0</v>
      </c>
    </row>
    <row r="70" spans="1:11" x14ac:dyDescent="0.2">
      <c r="A70">
        <v>69</v>
      </c>
      <c r="B70">
        <v>284.88</v>
      </c>
      <c r="C70">
        <v>33</v>
      </c>
      <c r="D70">
        <v>13.2</v>
      </c>
      <c r="E70" t="s">
        <v>18</v>
      </c>
      <c r="F70">
        <v>22.68</v>
      </c>
      <c r="G70">
        <v>13.2</v>
      </c>
      <c r="H70">
        <f t="shared" si="4"/>
        <v>0</v>
      </c>
      <c r="I70">
        <f t="shared" si="5"/>
        <v>0</v>
      </c>
      <c r="J70">
        <f t="shared" si="6"/>
        <v>0</v>
      </c>
      <c r="K70">
        <f t="shared" si="7"/>
        <v>1</v>
      </c>
    </row>
    <row r="71" spans="1:11" x14ac:dyDescent="0.2">
      <c r="A71">
        <v>70</v>
      </c>
      <c r="B71">
        <v>260.16000000000003</v>
      </c>
      <c r="C71">
        <v>52.68</v>
      </c>
      <c r="D71">
        <v>32.64</v>
      </c>
      <c r="E71" t="s">
        <v>6</v>
      </c>
      <c r="F71">
        <v>26.76</v>
      </c>
      <c r="G71">
        <v>32.64</v>
      </c>
      <c r="H71">
        <f t="shared" si="4"/>
        <v>0</v>
      </c>
      <c r="I71">
        <f t="shared" si="5"/>
        <v>0</v>
      </c>
      <c r="J71">
        <f t="shared" si="6"/>
        <v>0</v>
      </c>
      <c r="K71">
        <f t="shared" si="7"/>
        <v>0</v>
      </c>
    </row>
    <row r="72" spans="1:11" x14ac:dyDescent="0.2">
      <c r="A72">
        <v>71</v>
      </c>
      <c r="B72">
        <v>238.92</v>
      </c>
      <c r="C72">
        <v>36.72</v>
      </c>
      <c r="D72">
        <v>46.44</v>
      </c>
      <c r="E72" t="s">
        <v>6</v>
      </c>
      <c r="F72">
        <v>21.96</v>
      </c>
      <c r="G72">
        <v>46.44</v>
      </c>
      <c r="H72">
        <f t="shared" si="4"/>
        <v>0</v>
      </c>
      <c r="I72">
        <f t="shared" si="5"/>
        <v>0</v>
      </c>
      <c r="J72">
        <f t="shared" si="6"/>
        <v>0</v>
      </c>
      <c r="K72">
        <f t="shared" si="7"/>
        <v>0</v>
      </c>
    </row>
    <row r="73" spans="1:11" x14ac:dyDescent="0.2">
      <c r="A73">
        <v>72</v>
      </c>
      <c r="B73">
        <v>131.76</v>
      </c>
      <c r="C73">
        <v>17.16</v>
      </c>
      <c r="D73">
        <v>38.04</v>
      </c>
      <c r="E73" t="s">
        <v>15</v>
      </c>
      <c r="F73">
        <v>14.88</v>
      </c>
      <c r="G73">
        <v>38.04</v>
      </c>
      <c r="H73">
        <f t="shared" si="4"/>
        <v>0</v>
      </c>
      <c r="I73">
        <f t="shared" si="5"/>
        <v>0</v>
      </c>
      <c r="J73">
        <f t="shared" si="6"/>
        <v>1</v>
      </c>
      <c r="K73">
        <f t="shared" si="7"/>
        <v>0</v>
      </c>
    </row>
    <row r="74" spans="1:11" x14ac:dyDescent="0.2">
      <c r="A74">
        <v>73</v>
      </c>
      <c r="B74">
        <v>32.159999999999997</v>
      </c>
      <c r="C74">
        <v>39.6</v>
      </c>
      <c r="D74">
        <v>23.16</v>
      </c>
      <c r="E74" t="s">
        <v>15</v>
      </c>
      <c r="F74">
        <v>10.56</v>
      </c>
      <c r="G74">
        <v>23.16</v>
      </c>
      <c r="H74">
        <f t="shared" si="4"/>
        <v>0</v>
      </c>
      <c r="I74">
        <f t="shared" si="5"/>
        <v>0</v>
      </c>
      <c r="J74">
        <f t="shared" si="6"/>
        <v>1</v>
      </c>
      <c r="K74">
        <f t="shared" si="7"/>
        <v>0</v>
      </c>
    </row>
    <row r="75" spans="1:11" x14ac:dyDescent="0.2">
      <c r="A75">
        <v>74</v>
      </c>
      <c r="B75">
        <v>155.28</v>
      </c>
      <c r="C75">
        <v>6.84</v>
      </c>
      <c r="D75">
        <v>37.56</v>
      </c>
      <c r="E75" t="s">
        <v>6</v>
      </c>
      <c r="F75">
        <v>13.2</v>
      </c>
      <c r="G75">
        <v>37.56</v>
      </c>
      <c r="H75">
        <f t="shared" si="4"/>
        <v>0</v>
      </c>
      <c r="I75">
        <f t="shared" si="5"/>
        <v>0</v>
      </c>
      <c r="J75">
        <f t="shared" si="6"/>
        <v>0</v>
      </c>
      <c r="K75">
        <f t="shared" si="7"/>
        <v>0</v>
      </c>
    </row>
    <row r="76" spans="1:11" x14ac:dyDescent="0.2">
      <c r="A76">
        <v>75</v>
      </c>
      <c r="B76">
        <v>256.08</v>
      </c>
      <c r="C76">
        <v>29.52</v>
      </c>
      <c r="D76">
        <v>15.72</v>
      </c>
      <c r="E76" t="s">
        <v>18</v>
      </c>
      <c r="F76">
        <v>20.399999999999999</v>
      </c>
      <c r="G76">
        <v>15.72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1</v>
      </c>
    </row>
    <row r="77" spans="1:11" x14ac:dyDescent="0.2">
      <c r="A77">
        <v>76</v>
      </c>
      <c r="B77">
        <v>20.28</v>
      </c>
      <c r="C77">
        <v>52.44</v>
      </c>
      <c r="D77">
        <v>107.28</v>
      </c>
      <c r="E77" t="s">
        <v>7</v>
      </c>
      <c r="F77">
        <v>10.44</v>
      </c>
      <c r="G77">
        <v>107.28</v>
      </c>
      <c r="H77">
        <f t="shared" si="4"/>
        <v>1</v>
      </c>
      <c r="I77">
        <f t="shared" si="5"/>
        <v>0</v>
      </c>
      <c r="J77">
        <f t="shared" si="6"/>
        <v>0</v>
      </c>
      <c r="K77">
        <f t="shared" si="7"/>
        <v>0</v>
      </c>
    </row>
    <row r="78" spans="1:11" x14ac:dyDescent="0.2">
      <c r="A78">
        <v>77</v>
      </c>
      <c r="B78">
        <v>33</v>
      </c>
      <c r="C78">
        <v>1.92</v>
      </c>
      <c r="D78">
        <v>24.84</v>
      </c>
      <c r="E78" t="s">
        <v>7</v>
      </c>
      <c r="F78">
        <v>8.2799999999999994</v>
      </c>
      <c r="G78">
        <v>24.84</v>
      </c>
      <c r="H78">
        <f t="shared" si="4"/>
        <v>1</v>
      </c>
      <c r="I78">
        <f t="shared" si="5"/>
        <v>0</v>
      </c>
      <c r="J78">
        <f t="shared" si="6"/>
        <v>0</v>
      </c>
      <c r="K78">
        <f t="shared" si="7"/>
        <v>0</v>
      </c>
    </row>
    <row r="79" spans="1:11" x14ac:dyDescent="0.2">
      <c r="A79">
        <v>78</v>
      </c>
      <c r="B79">
        <v>144.6</v>
      </c>
      <c r="C79">
        <v>34.200000000000003</v>
      </c>
      <c r="D79">
        <v>17.04</v>
      </c>
      <c r="E79" t="s">
        <v>18</v>
      </c>
      <c r="F79">
        <v>17.04</v>
      </c>
      <c r="G79">
        <v>17.04</v>
      </c>
      <c r="H79">
        <f t="shared" si="4"/>
        <v>0</v>
      </c>
      <c r="I79">
        <f t="shared" si="5"/>
        <v>0</v>
      </c>
      <c r="J79">
        <f t="shared" si="6"/>
        <v>0</v>
      </c>
      <c r="K79">
        <f t="shared" si="7"/>
        <v>1</v>
      </c>
    </row>
    <row r="80" spans="1:11" x14ac:dyDescent="0.2">
      <c r="A80">
        <v>79</v>
      </c>
      <c r="B80">
        <v>6.48</v>
      </c>
      <c r="C80">
        <v>35.880000000000003</v>
      </c>
      <c r="D80">
        <v>11.28</v>
      </c>
      <c r="E80" t="s">
        <v>7</v>
      </c>
      <c r="F80">
        <v>6.36</v>
      </c>
      <c r="G80">
        <v>11.28</v>
      </c>
      <c r="H80">
        <f t="shared" si="4"/>
        <v>1</v>
      </c>
      <c r="I80">
        <f t="shared" si="5"/>
        <v>0</v>
      </c>
      <c r="J80">
        <f t="shared" si="6"/>
        <v>0</v>
      </c>
      <c r="K80">
        <f t="shared" si="7"/>
        <v>0</v>
      </c>
    </row>
    <row r="81" spans="1:11" x14ac:dyDescent="0.2">
      <c r="A81">
        <v>80</v>
      </c>
      <c r="B81">
        <v>139.19999999999999</v>
      </c>
      <c r="C81">
        <v>9.24</v>
      </c>
      <c r="D81">
        <v>27.72</v>
      </c>
      <c r="E81" t="s">
        <v>15</v>
      </c>
      <c r="F81">
        <v>13.2</v>
      </c>
      <c r="G81">
        <v>27.72</v>
      </c>
      <c r="H81">
        <f t="shared" si="4"/>
        <v>0</v>
      </c>
      <c r="I81">
        <f t="shared" si="5"/>
        <v>0</v>
      </c>
      <c r="J81">
        <f t="shared" si="6"/>
        <v>1</v>
      </c>
      <c r="K81">
        <f t="shared" si="7"/>
        <v>0</v>
      </c>
    </row>
    <row r="82" spans="1:11" x14ac:dyDescent="0.2">
      <c r="A82">
        <v>81</v>
      </c>
      <c r="B82">
        <v>91.68</v>
      </c>
      <c r="C82">
        <v>32.04</v>
      </c>
      <c r="D82">
        <v>26.76</v>
      </c>
      <c r="E82" t="s">
        <v>11</v>
      </c>
      <c r="F82">
        <v>14.16</v>
      </c>
      <c r="G82">
        <v>26.76</v>
      </c>
      <c r="H82">
        <f t="shared" si="4"/>
        <v>0</v>
      </c>
      <c r="I82">
        <f t="shared" si="5"/>
        <v>1</v>
      </c>
      <c r="J82">
        <f t="shared" si="6"/>
        <v>0</v>
      </c>
      <c r="K82">
        <f t="shared" si="7"/>
        <v>0</v>
      </c>
    </row>
    <row r="83" spans="1:11" x14ac:dyDescent="0.2">
      <c r="A83">
        <v>82</v>
      </c>
      <c r="B83">
        <v>287.76</v>
      </c>
      <c r="C83">
        <v>4.92</v>
      </c>
      <c r="D83">
        <v>44.28</v>
      </c>
      <c r="E83" t="s">
        <v>11</v>
      </c>
      <c r="F83">
        <v>14.76</v>
      </c>
      <c r="G83">
        <v>44.28</v>
      </c>
      <c r="H83">
        <f t="shared" si="4"/>
        <v>0</v>
      </c>
      <c r="I83">
        <f t="shared" si="5"/>
        <v>1</v>
      </c>
      <c r="J83">
        <f t="shared" si="6"/>
        <v>0</v>
      </c>
      <c r="K83">
        <f t="shared" si="7"/>
        <v>0</v>
      </c>
    </row>
    <row r="84" spans="1:11" x14ac:dyDescent="0.2">
      <c r="A84">
        <v>83</v>
      </c>
      <c r="B84">
        <v>90.36</v>
      </c>
      <c r="C84">
        <v>24.36</v>
      </c>
      <c r="D84">
        <v>39</v>
      </c>
      <c r="E84" t="s">
        <v>15</v>
      </c>
      <c r="F84">
        <v>13.56</v>
      </c>
      <c r="G84">
        <v>39</v>
      </c>
      <c r="H84">
        <f t="shared" si="4"/>
        <v>0</v>
      </c>
      <c r="I84">
        <f t="shared" si="5"/>
        <v>0</v>
      </c>
      <c r="J84">
        <f t="shared" si="6"/>
        <v>1</v>
      </c>
      <c r="K84">
        <f t="shared" si="7"/>
        <v>0</v>
      </c>
    </row>
    <row r="85" spans="1:11" x14ac:dyDescent="0.2">
      <c r="A85">
        <v>84</v>
      </c>
      <c r="B85">
        <v>82.08</v>
      </c>
      <c r="C85">
        <v>53.4</v>
      </c>
      <c r="D85">
        <v>42.72</v>
      </c>
      <c r="E85" t="s">
        <v>15</v>
      </c>
      <c r="F85">
        <v>16.32</v>
      </c>
      <c r="G85">
        <v>42.72</v>
      </c>
      <c r="H85">
        <f t="shared" si="4"/>
        <v>0</v>
      </c>
      <c r="I85">
        <f t="shared" si="5"/>
        <v>0</v>
      </c>
      <c r="J85">
        <f t="shared" si="6"/>
        <v>1</v>
      </c>
      <c r="K85">
        <f t="shared" si="7"/>
        <v>0</v>
      </c>
    </row>
    <row r="86" spans="1:11" x14ac:dyDescent="0.2">
      <c r="A86">
        <v>85</v>
      </c>
      <c r="B86">
        <v>256.2</v>
      </c>
      <c r="C86">
        <v>51.6</v>
      </c>
      <c r="D86">
        <v>40.56</v>
      </c>
      <c r="E86" t="s">
        <v>18</v>
      </c>
      <c r="F86">
        <v>26.04</v>
      </c>
      <c r="G86">
        <v>40.56</v>
      </c>
      <c r="H86">
        <f t="shared" si="4"/>
        <v>0</v>
      </c>
      <c r="I86">
        <f t="shared" si="5"/>
        <v>0</v>
      </c>
      <c r="J86">
        <f t="shared" si="6"/>
        <v>0</v>
      </c>
      <c r="K86">
        <f t="shared" si="7"/>
        <v>1</v>
      </c>
    </row>
    <row r="87" spans="1:11" x14ac:dyDescent="0.2">
      <c r="A87">
        <v>86</v>
      </c>
      <c r="B87">
        <v>231.84</v>
      </c>
      <c r="C87">
        <v>22.08</v>
      </c>
      <c r="D87">
        <v>78.84</v>
      </c>
      <c r="E87" t="s">
        <v>15</v>
      </c>
      <c r="F87">
        <v>18.239999999999998</v>
      </c>
      <c r="G87">
        <v>78.84</v>
      </c>
      <c r="H87">
        <f t="shared" si="4"/>
        <v>0</v>
      </c>
      <c r="I87">
        <f t="shared" si="5"/>
        <v>0</v>
      </c>
      <c r="J87">
        <f t="shared" si="6"/>
        <v>1</v>
      </c>
      <c r="K87">
        <f t="shared" si="7"/>
        <v>0</v>
      </c>
    </row>
    <row r="88" spans="1:11" x14ac:dyDescent="0.2">
      <c r="A88">
        <v>87</v>
      </c>
      <c r="B88">
        <v>91.56</v>
      </c>
      <c r="C88">
        <v>33</v>
      </c>
      <c r="D88">
        <v>19.2</v>
      </c>
      <c r="E88" t="s">
        <v>11</v>
      </c>
      <c r="F88">
        <v>14.4</v>
      </c>
      <c r="G88">
        <v>19.2</v>
      </c>
      <c r="H88">
        <f t="shared" si="4"/>
        <v>0</v>
      </c>
      <c r="I88">
        <f t="shared" si="5"/>
        <v>1</v>
      </c>
      <c r="J88">
        <f t="shared" si="6"/>
        <v>0</v>
      </c>
      <c r="K88">
        <f t="shared" si="7"/>
        <v>0</v>
      </c>
    </row>
    <row r="89" spans="1:11" x14ac:dyDescent="0.2">
      <c r="A89">
        <v>88</v>
      </c>
      <c r="B89">
        <v>132.84</v>
      </c>
      <c r="C89">
        <v>48.72</v>
      </c>
      <c r="D89">
        <v>75.84</v>
      </c>
      <c r="E89" t="s">
        <v>15</v>
      </c>
      <c r="F89">
        <v>19.2</v>
      </c>
      <c r="G89">
        <v>75.84</v>
      </c>
      <c r="H89">
        <f t="shared" si="4"/>
        <v>0</v>
      </c>
      <c r="I89">
        <f t="shared" si="5"/>
        <v>0</v>
      </c>
      <c r="J89">
        <f t="shared" si="6"/>
        <v>1</v>
      </c>
      <c r="K89">
        <f t="shared" si="7"/>
        <v>0</v>
      </c>
    </row>
    <row r="90" spans="1:11" x14ac:dyDescent="0.2">
      <c r="A90">
        <v>89</v>
      </c>
      <c r="B90">
        <v>105.96</v>
      </c>
      <c r="C90">
        <v>30.6</v>
      </c>
      <c r="D90">
        <v>88.08</v>
      </c>
      <c r="E90" t="s">
        <v>7</v>
      </c>
      <c r="F90">
        <v>15.48</v>
      </c>
      <c r="G90">
        <v>88.08</v>
      </c>
      <c r="H90">
        <f t="shared" si="4"/>
        <v>1</v>
      </c>
      <c r="I90">
        <f t="shared" si="5"/>
        <v>0</v>
      </c>
      <c r="J90">
        <f t="shared" si="6"/>
        <v>0</v>
      </c>
      <c r="K90">
        <f t="shared" si="7"/>
        <v>0</v>
      </c>
    </row>
    <row r="91" spans="1:11" x14ac:dyDescent="0.2">
      <c r="A91">
        <v>90</v>
      </c>
      <c r="B91">
        <v>131.76</v>
      </c>
      <c r="C91">
        <v>57.36</v>
      </c>
      <c r="D91">
        <v>61.68</v>
      </c>
      <c r="E91" t="s">
        <v>11</v>
      </c>
      <c r="F91">
        <v>20.04</v>
      </c>
      <c r="G91">
        <v>61.68</v>
      </c>
      <c r="H91">
        <f t="shared" si="4"/>
        <v>0</v>
      </c>
      <c r="I91">
        <f t="shared" si="5"/>
        <v>1</v>
      </c>
      <c r="J91">
        <f t="shared" si="6"/>
        <v>0</v>
      </c>
      <c r="K91">
        <f t="shared" si="7"/>
        <v>0</v>
      </c>
    </row>
    <row r="92" spans="1:11" x14ac:dyDescent="0.2">
      <c r="A92">
        <v>91</v>
      </c>
      <c r="B92">
        <v>161.16</v>
      </c>
      <c r="C92">
        <v>5.88</v>
      </c>
      <c r="D92">
        <v>11.16</v>
      </c>
      <c r="E92" t="s">
        <v>18</v>
      </c>
      <c r="F92">
        <v>13.44</v>
      </c>
      <c r="G92">
        <v>11.16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1</v>
      </c>
    </row>
    <row r="93" spans="1:11" x14ac:dyDescent="0.2">
      <c r="A93">
        <v>92</v>
      </c>
      <c r="B93">
        <v>34.32</v>
      </c>
      <c r="C93">
        <v>1.8</v>
      </c>
      <c r="D93">
        <v>39.6</v>
      </c>
      <c r="E93" t="s">
        <v>7</v>
      </c>
      <c r="F93">
        <v>8.76</v>
      </c>
      <c r="G93">
        <v>39.6</v>
      </c>
      <c r="H93">
        <f t="shared" si="4"/>
        <v>1</v>
      </c>
      <c r="I93">
        <f t="shared" si="5"/>
        <v>0</v>
      </c>
      <c r="J93">
        <f t="shared" si="6"/>
        <v>0</v>
      </c>
      <c r="K93">
        <f t="shared" si="7"/>
        <v>0</v>
      </c>
    </row>
    <row r="94" spans="1:11" x14ac:dyDescent="0.2">
      <c r="A94">
        <v>93</v>
      </c>
      <c r="B94">
        <v>261.24</v>
      </c>
      <c r="C94">
        <v>40.200000000000003</v>
      </c>
      <c r="D94">
        <v>70.8</v>
      </c>
      <c r="E94" t="s">
        <v>6</v>
      </c>
      <c r="F94">
        <v>23.28</v>
      </c>
      <c r="G94">
        <v>70.8</v>
      </c>
      <c r="H94">
        <f t="shared" si="4"/>
        <v>0</v>
      </c>
      <c r="I94">
        <f t="shared" si="5"/>
        <v>0</v>
      </c>
      <c r="J94">
        <f t="shared" si="6"/>
        <v>0</v>
      </c>
      <c r="K94">
        <f t="shared" si="7"/>
        <v>0</v>
      </c>
    </row>
    <row r="95" spans="1:11" x14ac:dyDescent="0.2">
      <c r="A95">
        <v>94</v>
      </c>
      <c r="B95">
        <v>301.08</v>
      </c>
      <c r="C95">
        <v>43.8</v>
      </c>
      <c r="D95">
        <v>86.76</v>
      </c>
      <c r="E95" t="s">
        <v>7</v>
      </c>
      <c r="F95">
        <v>26.64</v>
      </c>
      <c r="G95">
        <v>86.76</v>
      </c>
      <c r="H95">
        <f t="shared" si="4"/>
        <v>1</v>
      </c>
      <c r="I95">
        <f t="shared" si="5"/>
        <v>0</v>
      </c>
      <c r="J95">
        <f t="shared" si="6"/>
        <v>0</v>
      </c>
      <c r="K95">
        <f t="shared" si="7"/>
        <v>0</v>
      </c>
    </row>
    <row r="96" spans="1:11" x14ac:dyDescent="0.2">
      <c r="A96">
        <v>95</v>
      </c>
      <c r="B96">
        <v>128.88</v>
      </c>
      <c r="C96">
        <v>16.8</v>
      </c>
      <c r="D96">
        <v>13.08</v>
      </c>
      <c r="E96" t="s">
        <v>11</v>
      </c>
      <c r="F96">
        <v>13.8</v>
      </c>
      <c r="G96">
        <v>13.08</v>
      </c>
      <c r="H96">
        <f t="shared" si="4"/>
        <v>0</v>
      </c>
      <c r="I96">
        <f t="shared" si="5"/>
        <v>1</v>
      </c>
      <c r="J96">
        <f t="shared" si="6"/>
        <v>0</v>
      </c>
      <c r="K96">
        <f t="shared" si="7"/>
        <v>0</v>
      </c>
    </row>
    <row r="97" spans="1:11" x14ac:dyDescent="0.2">
      <c r="A97">
        <v>96</v>
      </c>
      <c r="B97">
        <v>195.96</v>
      </c>
      <c r="C97">
        <v>37.92</v>
      </c>
      <c r="D97">
        <v>63.48</v>
      </c>
      <c r="E97" t="s">
        <v>18</v>
      </c>
      <c r="F97">
        <v>20.28</v>
      </c>
      <c r="G97">
        <v>63.48</v>
      </c>
      <c r="H97">
        <f t="shared" si="4"/>
        <v>0</v>
      </c>
      <c r="I97">
        <f t="shared" si="5"/>
        <v>0</v>
      </c>
      <c r="J97">
        <f t="shared" si="6"/>
        <v>0</v>
      </c>
      <c r="K97">
        <f t="shared" si="7"/>
        <v>1</v>
      </c>
    </row>
    <row r="98" spans="1:11" x14ac:dyDescent="0.2">
      <c r="A98">
        <v>97</v>
      </c>
      <c r="B98">
        <v>237.12</v>
      </c>
      <c r="C98">
        <v>4.2</v>
      </c>
      <c r="D98">
        <v>7.08</v>
      </c>
      <c r="E98" t="s">
        <v>18</v>
      </c>
      <c r="F98">
        <v>14.04</v>
      </c>
      <c r="G98">
        <v>7.08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1</v>
      </c>
    </row>
    <row r="99" spans="1:11" x14ac:dyDescent="0.2">
      <c r="A99">
        <v>98</v>
      </c>
      <c r="B99">
        <v>221.88</v>
      </c>
      <c r="C99">
        <v>25.2</v>
      </c>
      <c r="D99">
        <v>26.4</v>
      </c>
      <c r="E99" t="s">
        <v>6</v>
      </c>
      <c r="F99">
        <v>18.600000000000001</v>
      </c>
      <c r="G99">
        <v>26.4</v>
      </c>
      <c r="H99">
        <f t="shared" si="4"/>
        <v>0</v>
      </c>
      <c r="I99">
        <f t="shared" si="5"/>
        <v>0</v>
      </c>
      <c r="J99">
        <f t="shared" si="6"/>
        <v>0</v>
      </c>
      <c r="K99">
        <f t="shared" si="7"/>
        <v>0</v>
      </c>
    </row>
    <row r="100" spans="1:11" x14ac:dyDescent="0.2">
      <c r="A100">
        <v>99</v>
      </c>
      <c r="B100">
        <v>347.64</v>
      </c>
      <c r="C100">
        <v>50.76</v>
      </c>
      <c r="D100">
        <v>61.44</v>
      </c>
      <c r="E100" t="s">
        <v>18</v>
      </c>
      <c r="F100">
        <v>30.48</v>
      </c>
      <c r="G100">
        <v>61.44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1</v>
      </c>
    </row>
    <row r="101" spans="1:11" x14ac:dyDescent="0.2">
      <c r="A101">
        <v>100</v>
      </c>
      <c r="B101">
        <v>162.24</v>
      </c>
      <c r="C101">
        <v>50.04</v>
      </c>
      <c r="D101">
        <v>55.08</v>
      </c>
      <c r="E101" t="s">
        <v>6</v>
      </c>
      <c r="F101">
        <v>20.64</v>
      </c>
      <c r="G101">
        <v>55.08</v>
      </c>
      <c r="H101">
        <f t="shared" si="4"/>
        <v>0</v>
      </c>
      <c r="I101">
        <f t="shared" si="5"/>
        <v>0</v>
      </c>
      <c r="J101">
        <f t="shared" si="6"/>
        <v>0</v>
      </c>
      <c r="K101">
        <f t="shared" si="7"/>
        <v>0</v>
      </c>
    </row>
    <row r="102" spans="1:11" x14ac:dyDescent="0.2">
      <c r="A102">
        <v>101</v>
      </c>
      <c r="B102">
        <v>266.88</v>
      </c>
      <c r="C102">
        <v>5.16</v>
      </c>
      <c r="D102">
        <v>59.76</v>
      </c>
      <c r="E102" t="s">
        <v>7</v>
      </c>
      <c r="F102">
        <v>14.04</v>
      </c>
      <c r="G102">
        <v>59.76</v>
      </c>
      <c r="H102">
        <f t="shared" si="4"/>
        <v>1</v>
      </c>
      <c r="I102">
        <f t="shared" si="5"/>
        <v>0</v>
      </c>
      <c r="J102">
        <f t="shared" si="6"/>
        <v>0</v>
      </c>
      <c r="K102">
        <f t="shared" si="7"/>
        <v>0</v>
      </c>
    </row>
    <row r="103" spans="1:11" x14ac:dyDescent="0.2">
      <c r="A103">
        <v>102</v>
      </c>
      <c r="B103">
        <v>355.68</v>
      </c>
      <c r="C103">
        <v>43.56</v>
      </c>
      <c r="D103">
        <v>121.08</v>
      </c>
      <c r="E103" t="s">
        <v>15</v>
      </c>
      <c r="F103">
        <v>28.56</v>
      </c>
      <c r="G103">
        <v>121.08</v>
      </c>
      <c r="H103">
        <f t="shared" si="4"/>
        <v>0</v>
      </c>
      <c r="I103">
        <f t="shared" si="5"/>
        <v>0</v>
      </c>
      <c r="J103">
        <f t="shared" si="6"/>
        <v>1</v>
      </c>
      <c r="K103">
        <f t="shared" si="7"/>
        <v>0</v>
      </c>
    </row>
    <row r="104" spans="1:11" x14ac:dyDescent="0.2">
      <c r="A104">
        <v>103</v>
      </c>
      <c r="B104">
        <v>336.24</v>
      </c>
      <c r="C104">
        <v>12.12</v>
      </c>
      <c r="D104">
        <v>25.68</v>
      </c>
      <c r="E104" t="s">
        <v>6</v>
      </c>
      <c r="F104">
        <v>17.760000000000002</v>
      </c>
      <c r="G104">
        <v>25.68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0</v>
      </c>
    </row>
    <row r="105" spans="1:11" x14ac:dyDescent="0.2">
      <c r="A105">
        <v>104</v>
      </c>
      <c r="B105">
        <v>225.48</v>
      </c>
      <c r="C105">
        <v>20.64</v>
      </c>
      <c r="D105">
        <v>21.48</v>
      </c>
      <c r="E105" t="s">
        <v>11</v>
      </c>
      <c r="F105">
        <v>17.64</v>
      </c>
      <c r="G105">
        <v>21.48</v>
      </c>
      <c r="H105">
        <f t="shared" si="4"/>
        <v>0</v>
      </c>
      <c r="I105">
        <f t="shared" si="5"/>
        <v>1</v>
      </c>
      <c r="J105">
        <f t="shared" si="6"/>
        <v>0</v>
      </c>
      <c r="K105">
        <f t="shared" si="7"/>
        <v>0</v>
      </c>
    </row>
    <row r="106" spans="1:11" x14ac:dyDescent="0.2">
      <c r="A106">
        <v>105</v>
      </c>
      <c r="B106">
        <v>285.83999999999997</v>
      </c>
      <c r="C106">
        <v>41.16</v>
      </c>
      <c r="D106">
        <v>6.36</v>
      </c>
      <c r="E106" t="s">
        <v>6</v>
      </c>
      <c r="F106">
        <v>24.84</v>
      </c>
      <c r="G106">
        <v>6.36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0</v>
      </c>
    </row>
    <row r="107" spans="1:11" x14ac:dyDescent="0.2">
      <c r="A107">
        <v>106</v>
      </c>
      <c r="B107">
        <v>165.48</v>
      </c>
      <c r="C107">
        <v>55.68</v>
      </c>
      <c r="D107">
        <v>70.8</v>
      </c>
      <c r="E107" t="s">
        <v>6</v>
      </c>
      <c r="F107">
        <v>23.04</v>
      </c>
      <c r="G107">
        <v>70.8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0</v>
      </c>
    </row>
    <row r="108" spans="1:11" x14ac:dyDescent="0.2">
      <c r="A108">
        <v>107</v>
      </c>
      <c r="B108">
        <v>30</v>
      </c>
      <c r="C108">
        <v>13.2</v>
      </c>
      <c r="D108">
        <v>35.64</v>
      </c>
      <c r="E108" t="s">
        <v>15</v>
      </c>
      <c r="F108">
        <v>8.64</v>
      </c>
      <c r="G108">
        <v>35.64</v>
      </c>
      <c r="H108">
        <f t="shared" si="4"/>
        <v>0</v>
      </c>
      <c r="I108">
        <f t="shared" si="5"/>
        <v>0</v>
      </c>
      <c r="J108">
        <f t="shared" si="6"/>
        <v>1</v>
      </c>
      <c r="K108">
        <f t="shared" si="7"/>
        <v>0</v>
      </c>
    </row>
    <row r="109" spans="1:11" x14ac:dyDescent="0.2">
      <c r="A109">
        <v>108</v>
      </c>
      <c r="B109">
        <v>108.48</v>
      </c>
      <c r="C109">
        <v>0.36</v>
      </c>
      <c r="D109">
        <v>27.84</v>
      </c>
      <c r="E109" t="s">
        <v>7</v>
      </c>
      <c r="F109">
        <v>10.44</v>
      </c>
      <c r="G109">
        <v>27.84</v>
      </c>
      <c r="H109">
        <f t="shared" si="4"/>
        <v>1</v>
      </c>
      <c r="I109">
        <f t="shared" si="5"/>
        <v>0</v>
      </c>
      <c r="J109">
        <f t="shared" si="6"/>
        <v>0</v>
      </c>
      <c r="K109">
        <f t="shared" si="7"/>
        <v>0</v>
      </c>
    </row>
    <row r="110" spans="1:11" x14ac:dyDescent="0.2">
      <c r="A110">
        <v>109</v>
      </c>
      <c r="B110">
        <v>15.72</v>
      </c>
      <c r="C110">
        <v>0.48</v>
      </c>
      <c r="D110">
        <v>30.72</v>
      </c>
      <c r="E110" t="s">
        <v>7</v>
      </c>
      <c r="F110">
        <v>6.36</v>
      </c>
      <c r="G110">
        <v>30.72</v>
      </c>
      <c r="H110">
        <f t="shared" si="4"/>
        <v>1</v>
      </c>
      <c r="I110">
        <f t="shared" si="5"/>
        <v>0</v>
      </c>
      <c r="J110">
        <f t="shared" si="6"/>
        <v>0</v>
      </c>
      <c r="K110">
        <f t="shared" si="7"/>
        <v>0</v>
      </c>
    </row>
    <row r="111" spans="1:11" x14ac:dyDescent="0.2">
      <c r="A111">
        <v>110</v>
      </c>
      <c r="B111">
        <v>306.48</v>
      </c>
      <c r="C111">
        <v>32.28</v>
      </c>
      <c r="D111">
        <v>6.6</v>
      </c>
      <c r="E111" t="s">
        <v>18</v>
      </c>
      <c r="F111">
        <v>23.76</v>
      </c>
      <c r="G111">
        <v>6.6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1</v>
      </c>
    </row>
    <row r="112" spans="1:11" x14ac:dyDescent="0.2">
      <c r="A112">
        <v>111</v>
      </c>
      <c r="B112">
        <v>270.95999999999998</v>
      </c>
      <c r="C112">
        <v>9.84</v>
      </c>
      <c r="D112">
        <v>67.8</v>
      </c>
      <c r="E112" t="s">
        <v>11</v>
      </c>
      <c r="F112">
        <v>16.079999999999998</v>
      </c>
      <c r="G112">
        <v>67.8</v>
      </c>
      <c r="H112">
        <f t="shared" si="4"/>
        <v>0</v>
      </c>
      <c r="I112">
        <f t="shared" si="5"/>
        <v>1</v>
      </c>
      <c r="J112">
        <f t="shared" si="6"/>
        <v>0</v>
      </c>
      <c r="K112">
        <f t="shared" si="7"/>
        <v>0</v>
      </c>
    </row>
    <row r="113" spans="1:11" x14ac:dyDescent="0.2">
      <c r="A113">
        <v>112</v>
      </c>
      <c r="B113">
        <v>290.04000000000002</v>
      </c>
      <c r="C113">
        <v>45.6</v>
      </c>
      <c r="D113">
        <v>27.84</v>
      </c>
      <c r="E113" t="s">
        <v>18</v>
      </c>
      <c r="F113">
        <v>26.16</v>
      </c>
      <c r="G113">
        <v>27.84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1</v>
      </c>
    </row>
    <row r="114" spans="1:11" x14ac:dyDescent="0.2">
      <c r="A114">
        <v>113</v>
      </c>
      <c r="B114">
        <v>210.84</v>
      </c>
      <c r="C114">
        <v>18.48</v>
      </c>
      <c r="D114">
        <v>2.88</v>
      </c>
      <c r="E114" t="s">
        <v>18</v>
      </c>
      <c r="F114">
        <v>16.920000000000002</v>
      </c>
      <c r="G114">
        <v>2.88</v>
      </c>
      <c r="H114">
        <f t="shared" si="4"/>
        <v>0</v>
      </c>
      <c r="I114">
        <f t="shared" si="5"/>
        <v>0</v>
      </c>
      <c r="J114">
        <f t="shared" si="6"/>
        <v>0</v>
      </c>
      <c r="K114">
        <f t="shared" si="7"/>
        <v>1</v>
      </c>
    </row>
    <row r="115" spans="1:11" x14ac:dyDescent="0.2">
      <c r="A115">
        <v>114</v>
      </c>
      <c r="B115">
        <v>251.52</v>
      </c>
      <c r="C115">
        <v>24.72</v>
      </c>
      <c r="D115">
        <v>12.84</v>
      </c>
      <c r="E115" t="s">
        <v>18</v>
      </c>
      <c r="F115">
        <v>19.079999999999998</v>
      </c>
      <c r="G115">
        <v>12.84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1</v>
      </c>
    </row>
    <row r="116" spans="1:11" x14ac:dyDescent="0.2">
      <c r="A116">
        <v>115</v>
      </c>
      <c r="B116">
        <v>93.84</v>
      </c>
      <c r="C116">
        <v>56.16</v>
      </c>
      <c r="D116">
        <v>41.4</v>
      </c>
      <c r="E116" t="s">
        <v>15</v>
      </c>
      <c r="F116">
        <v>17.52</v>
      </c>
      <c r="G116">
        <v>41.4</v>
      </c>
      <c r="H116">
        <f t="shared" si="4"/>
        <v>0</v>
      </c>
      <c r="I116">
        <f t="shared" si="5"/>
        <v>0</v>
      </c>
      <c r="J116">
        <f t="shared" si="6"/>
        <v>1</v>
      </c>
      <c r="K116">
        <f t="shared" si="7"/>
        <v>0</v>
      </c>
    </row>
    <row r="117" spans="1:11" x14ac:dyDescent="0.2">
      <c r="A117">
        <v>116</v>
      </c>
      <c r="B117">
        <v>90.12</v>
      </c>
      <c r="C117">
        <v>42</v>
      </c>
      <c r="D117">
        <v>63.24</v>
      </c>
      <c r="E117" t="s">
        <v>7</v>
      </c>
      <c r="F117">
        <v>15.12</v>
      </c>
      <c r="G117">
        <v>63.24</v>
      </c>
      <c r="H117">
        <f t="shared" si="4"/>
        <v>1</v>
      </c>
      <c r="I117">
        <f t="shared" si="5"/>
        <v>0</v>
      </c>
      <c r="J117">
        <f t="shared" si="6"/>
        <v>0</v>
      </c>
      <c r="K117">
        <f t="shared" si="7"/>
        <v>0</v>
      </c>
    </row>
    <row r="118" spans="1:11" x14ac:dyDescent="0.2">
      <c r="A118">
        <v>117</v>
      </c>
      <c r="B118">
        <v>167.04</v>
      </c>
      <c r="C118">
        <v>17.16</v>
      </c>
      <c r="D118">
        <v>30.72</v>
      </c>
      <c r="E118" t="s">
        <v>6</v>
      </c>
      <c r="F118">
        <v>14.64</v>
      </c>
      <c r="G118">
        <v>30.72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0</v>
      </c>
    </row>
    <row r="119" spans="1:11" x14ac:dyDescent="0.2">
      <c r="A119">
        <v>118</v>
      </c>
      <c r="B119">
        <v>91.68</v>
      </c>
      <c r="C119">
        <v>0.96</v>
      </c>
      <c r="D119">
        <v>17.760000000000002</v>
      </c>
      <c r="E119" t="s">
        <v>11</v>
      </c>
      <c r="F119">
        <v>11.28</v>
      </c>
      <c r="G119">
        <v>17.760000000000002</v>
      </c>
      <c r="H119">
        <f t="shared" si="4"/>
        <v>0</v>
      </c>
      <c r="I119">
        <f t="shared" si="5"/>
        <v>1</v>
      </c>
      <c r="J119">
        <f t="shared" si="6"/>
        <v>0</v>
      </c>
      <c r="K119">
        <f t="shared" si="7"/>
        <v>0</v>
      </c>
    </row>
    <row r="120" spans="1:11" x14ac:dyDescent="0.2">
      <c r="A120">
        <v>119</v>
      </c>
      <c r="B120">
        <v>150.84</v>
      </c>
      <c r="C120">
        <v>44.28</v>
      </c>
      <c r="D120">
        <v>95.04</v>
      </c>
      <c r="E120" t="s">
        <v>6</v>
      </c>
      <c r="F120">
        <v>19.079999999999998</v>
      </c>
      <c r="G120">
        <v>95.04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0</v>
      </c>
    </row>
    <row r="121" spans="1:11" x14ac:dyDescent="0.2">
      <c r="A121">
        <v>120</v>
      </c>
      <c r="B121">
        <v>23.28</v>
      </c>
      <c r="C121">
        <v>19.2</v>
      </c>
      <c r="D121">
        <v>26.76</v>
      </c>
      <c r="E121" t="s">
        <v>7</v>
      </c>
      <c r="F121">
        <v>7.92</v>
      </c>
      <c r="G121">
        <v>26.76</v>
      </c>
      <c r="H121">
        <f t="shared" si="4"/>
        <v>1</v>
      </c>
      <c r="I121">
        <f t="shared" si="5"/>
        <v>0</v>
      </c>
      <c r="J121">
        <f t="shared" si="6"/>
        <v>0</v>
      </c>
      <c r="K121">
        <f t="shared" si="7"/>
        <v>0</v>
      </c>
    </row>
    <row r="122" spans="1:11" x14ac:dyDescent="0.2">
      <c r="A122">
        <v>121</v>
      </c>
      <c r="B122">
        <v>169.56</v>
      </c>
      <c r="C122">
        <v>32.159999999999997</v>
      </c>
      <c r="D122">
        <v>55.44</v>
      </c>
      <c r="E122" t="s">
        <v>6</v>
      </c>
      <c r="F122">
        <v>18.600000000000001</v>
      </c>
      <c r="G122">
        <v>55.44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0</v>
      </c>
    </row>
    <row r="123" spans="1:11" x14ac:dyDescent="0.2">
      <c r="A123">
        <v>122</v>
      </c>
      <c r="B123">
        <v>22.56</v>
      </c>
      <c r="C123">
        <v>26.04</v>
      </c>
      <c r="D123">
        <v>60.48</v>
      </c>
      <c r="E123" t="s">
        <v>7</v>
      </c>
      <c r="F123">
        <v>8.4</v>
      </c>
      <c r="G123">
        <v>60.48</v>
      </c>
      <c r="H123">
        <f t="shared" si="4"/>
        <v>1</v>
      </c>
      <c r="I123">
        <f t="shared" si="5"/>
        <v>0</v>
      </c>
      <c r="J123">
        <f t="shared" si="6"/>
        <v>0</v>
      </c>
      <c r="K123">
        <f t="shared" si="7"/>
        <v>0</v>
      </c>
    </row>
    <row r="124" spans="1:11" x14ac:dyDescent="0.2">
      <c r="A124">
        <v>123</v>
      </c>
      <c r="B124">
        <v>268.8</v>
      </c>
      <c r="C124">
        <v>2.88</v>
      </c>
      <c r="D124">
        <v>18.72</v>
      </c>
      <c r="E124" t="s">
        <v>15</v>
      </c>
      <c r="F124">
        <v>13.92</v>
      </c>
      <c r="G124">
        <v>18.72</v>
      </c>
      <c r="H124">
        <f t="shared" si="4"/>
        <v>0</v>
      </c>
      <c r="I124">
        <f t="shared" si="5"/>
        <v>0</v>
      </c>
      <c r="J124">
        <f t="shared" si="6"/>
        <v>1</v>
      </c>
      <c r="K124">
        <f t="shared" si="7"/>
        <v>0</v>
      </c>
    </row>
    <row r="125" spans="1:11" x14ac:dyDescent="0.2">
      <c r="A125">
        <v>124</v>
      </c>
      <c r="B125">
        <v>147.72</v>
      </c>
      <c r="C125">
        <v>41.52</v>
      </c>
      <c r="D125">
        <v>14.88</v>
      </c>
      <c r="E125" t="s">
        <v>6</v>
      </c>
      <c r="F125">
        <v>18.239999999999998</v>
      </c>
      <c r="G125">
        <v>14.88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0</v>
      </c>
    </row>
    <row r="126" spans="1:11" x14ac:dyDescent="0.2">
      <c r="A126">
        <v>125</v>
      </c>
      <c r="B126">
        <v>275.39999999999998</v>
      </c>
      <c r="C126">
        <v>38.76</v>
      </c>
      <c r="D126">
        <v>89.04</v>
      </c>
      <c r="E126" t="s">
        <v>11</v>
      </c>
      <c r="F126">
        <v>23.64</v>
      </c>
      <c r="G126">
        <v>89.04</v>
      </c>
      <c r="H126">
        <f t="shared" si="4"/>
        <v>0</v>
      </c>
      <c r="I126">
        <f t="shared" si="5"/>
        <v>1</v>
      </c>
      <c r="J126">
        <f t="shared" si="6"/>
        <v>0</v>
      </c>
      <c r="K126">
        <f t="shared" si="7"/>
        <v>0</v>
      </c>
    </row>
    <row r="127" spans="1:11" x14ac:dyDescent="0.2">
      <c r="A127">
        <v>126</v>
      </c>
      <c r="B127">
        <v>104.64</v>
      </c>
      <c r="C127">
        <v>14.16</v>
      </c>
      <c r="D127">
        <v>31.08</v>
      </c>
      <c r="E127" t="s">
        <v>7</v>
      </c>
      <c r="F127">
        <v>12.72</v>
      </c>
      <c r="G127">
        <v>31.08</v>
      </c>
      <c r="H127">
        <f t="shared" si="4"/>
        <v>1</v>
      </c>
      <c r="I127">
        <f t="shared" si="5"/>
        <v>0</v>
      </c>
      <c r="J127">
        <f t="shared" si="6"/>
        <v>0</v>
      </c>
      <c r="K127">
        <f t="shared" si="7"/>
        <v>0</v>
      </c>
    </row>
    <row r="128" spans="1:11" x14ac:dyDescent="0.2">
      <c r="A128">
        <v>127</v>
      </c>
      <c r="B128">
        <v>9.36</v>
      </c>
      <c r="C128">
        <v>46.68</v>
      </c>
      <c r="D128">
        <v>60.72</v>
      </c>
      <c r="E128" t="s">
        <v>7</v>
      </c>
      <c r="F128">
        <v>7.92</v>
      </c>
      <c r="G128">
        <v>60.72</v>
      </c>
      <c r="H128">
        <f t="shared" si="4"/>
        <v>1</v>
      </c>
      <c r="I128">
        <f t="shared" si="5"/>
        <v>0</v>
      </c>
      <c r="J128">
        <f t="shared" si="6"/>
        <v>0</v>
      </c>
      <c r="K128">
        <f t="shared" si="7"/>
        <v>0</v>
      </c>
    </row>
    <row r="129" spans="1:11" x14ac:dyDescent="0.2">
      <c r="A129">
        <v>128</v>
      </c>
      <c r="B129">
        <v>96.24</v>
      </c>
      <c r="C129">
        <v>0</v>
      </c>
      <c r="D129">
        <v>11.04</v>
      </c>
      <c r="E129" t="s">
        <v>11</v>
      </c>
      <c r="F129">
        <v>10.56</v>
      </c>
      <c r="G129">
        <v>11.04</v>
      </c>
      <c r="H129">
        <f t="shared" si="4"/>
        <v>0</v>
      </c>
      <c r="I129">
        <f t="shared" si="5"/>
        <v>1</v>
      </c>
      <c r="J129">
        <f t="shared" si="6"/>
        <v>0</v>
      </c>
      <c r="K129">
        <f t="shared" si="7"/>
        <v>0</v>
      </c>
    </row>
    <row r="130" spans="1:11" x14ac:dyDescent="0.2">
      <c r="A130">
        <v>129</v>
      </c>
      <c r="B130">
        <v>264.36</v>
      </c>
      <c r="C130">
        <v>58.8</v>
      </c>
      <c r="D130">
        <v>3.84</v>
      </c>
      <c r="E130" t="s">
        <v>6</v>
      </c>
      <c r="F130">
        <v>29.64</v>
      </c>
      <c r="G130">
        <v>3.84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0</v>
      </c>
    </row>
    <row r="131" spans="1:11" x14ac:dyDescent="0.2">
      <c r="A131">
        <v>130</v>
      </c>
      <c r="B131">
        <v>71.52</v>
      </c>
      <c r="C131">
        <v>14.4</v>
      </c>
      <c r="D131">
        <v>51.72</v>
      </c>
      <c r="E131" t="s">
        <v>15</v>
      </c>
      <c r="F131">
        <v>11.64</v>
      </c>
      <c r="G131">
        <v>51.72</v>
      </c>
      <c r="H131">
        <f t="shared" ref="H131:H194" si="8">IF(E131="atlanta",1,0)</f>
        <v>0</v>
      </c>
      <c r="I131">
        <f t="shared" ref="I131:I194" si="9">IF(E131="los angeles",1,0)</f>
        <v>0</v>
      </c>
      <c r="J131">
        <f t="shared" ref="J131:J194" si="10">IF(E131="chicago",1,0)</f>
        <v>1</v>
      </c>
      <c r="K131">
        <f t="shared" ref="K131:K194" si="11">IF(E131="houston",1,0)</f>
        <v>0</v>
      </c>
    </row>
    <row r="132" spans="1:11" x14ac:dyDescent="0.2">
      <c r="A132">
        <v>131</v>
      </c>
      <c r="B132">
        <v>0.84</v>
      </c>
      <c r="C132">
        <v>47.52</v>
      </c>
      <c r="D132">
        <v>10.44</v>
      </c>
      <c r="E132" t="s">
        <v>7</v>
      </c>
      <c r="F132">
        <v>1.92</v>
      </c>
      <c r="G132">
        <v>10.44</v>
      </c>
      <c r="H132">
        <f t="shared" si="8"/>
        <v>1</v>
      </c>
      <c r="I132">
        <f t="shared" si="9"/>
        <v>0</v>
      </c>
      <c r="J132">
        <f t="shared" si="10"/>
        <v>0</v>
      </c>
      <c r="K132">
        <f t="shared" si="11"/>
        <v>0</v>
      </c>
    </row>
    <row r="133" spans="1:11" x14ac:dyDescent="0.2">
      <c r="A133">
        <v>132</v>
      </c>
      <c r="B133">
        <v>318.24</v>
      </c>
      <c r="C133">
        <v>3.48</v>
      </c>
      <c r="D133">
        <v>51.6</v>
      </c>
      <c r="E133" t="s">
        <v>7</v>
      </c>
      <c r="F133">
        <v>15.24</v>
      </c>
      <c r="G133">
        <v>51.6</v>
      </c>
      <c r="H133">
        <f t="shared" si="8"/>
        <v>1</v>
      </c>
      <c r="I133">
        <f t="shared" si="9"/>
        <v>0</v>
      </c>
      <c r="J133">
        <f t="shared" si="10"/>
        <v>0</v>
      </c>
      <c r="K133">
        <f t="shared" si="11"/>
        <v>0</v>
      </c>
    </row>
    <row r="134" spans="1:11" x14ac:dyDescent="0.2">
      <c r="A134">
        <v>133</v>
      </c>
      <c r="B134">
        <v>10.08</v>
      </c>
      <c r="C134">
        <v>32.64</v>
      </c>
      <c r="D134">
        <v>2.52</v>
      </c>
      <c r="E134" t="s">
        <v>7</v>
      </c>
      <c r="F134">
        <v>6.84</v>
      </c>
      <c r="G134">
        <v>2.52</v>
      </c>
      <c r="H134">
        <f t="shared" si="8"/>
        <v>1</v>
      </c>
      <c r="I134">
        <f t="shared" si="9"/>
        <v>0</v>
      </c>
      <c r="J134">
        <f t="shared" si="10"/>
        <v>0</v>
      </c>
      <c r="K134">
        <f t="shared" si="11"/>
        <v>0</v>
      </c>
    </row>
    <row r="135" spans="1:11" x14ac:dyDescent="0.2">
      <c r="A135">
        <v>134</v>
      </c>
      <c r="B135">
        <v>263.76</v>
      </c>
      <c r="C135">
        <v>40.200000000000003</v>
      </c>
      <c r="D135">
        <v>54.12</v>
      </c>
      <c r="E135" t="s">
        <v>6</v>
      </c>
      <c r="F135">
        <v>23.52</v>
      </c>
      <c r="G135">
        <v>54.12</v>
      </c>
      <c r="H135">
        <f t="shared" si="8"/>
        <v>0</v>
      </c>
      <c r="I135">
        <f t="shared" si="9"/>
        <v>0</v>
      </c>
      <c r="J135">
        <f t="shared" si="10"/>
        <v>0</v>
      </c>
      <c r="K135">
        <f t="shared" si="11"/>
        <v>0</v>
      </c>
    </row>
    <row r="136" spans="1:11" x14ac:dyDescent="0.2">
      <c r="A136">
        <v>135</v>
      </c>
      <c r="B136">
        <v>44.28</v>
      </c>
      <c r="C136">
        <v>46.32</v>
      </c>
      <c r="D136">
        <v>78.72</v>
      </c>
      <c r="E136" t="s">
        <v>7</v>
      </c>
      <c r="F136">
        <v>12.96</v>
      </c>
      <c r="G136">
        <v>78.72</v>
      </c>
      <c r="H136">
        <f t="shared" si="8"/>
        <v>1</v>
      </c>
      <c r="I136">
        <f t="shared" si="9"/>
        <v>0</v>
      </c>
      <c r="J136">
        <f t="shared" si="10"/>
        <v>0</v>
      </c>
      <c r="K136">
        <f t="shared" si="11"/>
        <v>0</v>
      </c>
    </row>
    <row r="137" spans="1:11" x14ac:dyDescent="0.2">
      <c r="A137">
        <v>136</v>
      </c>
      <c r="B137">
        <v>57.96</v>
      </c>
      <c r="C137">
        <v>56.4</v>
      </c>
      <c r="D137">
        <v>10.199999999999999</v>
      </c>
      <c r="E137" t="s">
        <v>6</v>
      </c>
      <c r="F137">
        <v>13.92</v>
      </c>
      <c r="G137">
        <v>10.199999999999999</v>
      </c>
      <c r="H137">
        <f t="shared" si="8"/>
        <v>0</v>
      </c>
      <c r="I137">
        <f t="shared" si="9"/>
        <v>0</v>
      </c>
      <c r="J137">
        <f t="shared" si="10"/>
        <v>0</v>
      </c>
      <c r="K137">
        <f t="shared" si="11"/>
        <v>0</v>
      </c>
    </row>
    <row r="138" spans="1:11" x14ac:dyDescent="0.2">
      <c r="A138">
        <v>137</v>
      </c>
      <c r="B138">
        <v>30.72</v>
      </c>
      <c r="C138">
        <v>46.8</v>
      </c>
      <c r="D138">
        <v>11.16</v>
      </c>
      <c r="E138" t="s">
        <v>7</v>
      </c>
      <c r="F138">
        <v>11.4</v>
      </c>
      <c r="G138">
        <v>11.16</v>
      </c>
      <c r="H138">
        <f t="shared" si="8"/>
        <v>1</v>
      </c>
      <c r="I138">
        <f t="shared" si="9"/>
        <v>0</v>
      </c>
      <c r="J138">
        <f t="shared" si="10"/>
        <v>0</v>
      </c>
      <c r="K138">
        <f t="shared" si="11"/>
        <v>0</v>
      </c>
    </row>
    <row r="139" spans="1:11" x14ac:dyDescent="0.2">
      <c r="A139">
        <v>138</v>
      </c>
      <c r="B139">
        <v>328.44</v>
      </c>
      <c r="C139">
        <v>34.68</v>
      </c>
      <c r="D139">
        <v>71.64</v>
      </c>
      <c r="E139" t="s">
        <v>11</v>
      </c>
      <c r="F139">
        <v>24.96</v>
      </c>
      <c r="G139">
        <v>71.64</v>
      </c>
      <c r="H139">
        <f t="shared" si="8"/>
        <v>0</v>
      </c>
      <c r="I139">
        <f t="shared" si="9"/>
        <v>1</v>
      </c>
      <c r="J139">
        <f t="shared" si="10"/>
        <v>0</v>
      </c>
      <c r="K139">
        <f t="shared" si="11"/>
        <v>0</v>
      </c>
    </row>
    <row r="140" spans="1:11" x14ac:dyDescent="0.2">
      <c r="A140">
        <v>139</v>
      </c>
      <c r="B140">
        <v>51.6</v>
      </c>
      <c r="C140">
        <v>31.08</v>
      </c>
      <c r="D140">
        <v>24.6</v>
      </c>
      <c r="E140" t="s">
        <v>15</v>
      </c>
      <c r="F140">
        <v>11.52</v>
      </c>
      <c r="G140">
        <v>24.6</v>
      </c>
      <c r="H140">
        <f t="shared" si="8"/>
        <v>0</v>
      </c>
      <c r="I140">
        <f t="shared" si="9"/>
        <v>0</v>
      </c>
      <c r="J140">
        <f t="shared" si="10"/>
        <v>1</v>
      </c>
      <c r="K140">
        <f t="shared" si="11"/>
        <v>0</v>
      </c>
    </row>
    <row r="141" spans="1:11" x14ac:dyDescent="0.2">
      <c r="A141">
        <v>140</v>
      </c>
      <c r="B141">
        <v>221.88</v>
      </c>
      <c r="C141">
        <v>52.68</v>
      </c>
      <c r="D141">
        <v>2.04</v>
      </c>
      <c r="E141" t="s">
        <v>18</v>
      </c>
      <c r="F141">
        <v>24.84</v>
      </c>
      <c r="G141">
        <v>2.04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1</v>
      </c>
    </row>
    <row r="142" spans="1:11" x14ac:dyDescent="0.2">
      <c r="A142">
        <v>141</v>
      </c>
      <c r="B142">
        <v>88.08</v>
      </c>
      <c r="C142">
        <v>20.399999999999999</v>
      </c>
      <c r="D142">
        <v>15.48</v>
      </c>
      <c r="E142" t="s">
        <v>11</v>
      </c>
      <c r="F142">
        <v>13.08</v>
      </c>
      <c r="G142">
        <v>15.48</v>
      </c>
      <c r="H142">
        <f t="shared" si="8"/>
        <v>0</v>
      </c>
      <c r="I142">
        <f t="shared" si="9"/>
        <v>1</v>
      </c>
      <c r="J142">
        <f t="shared" si="10"/>
        <v>0</v>
      </c>
      <c r="K142">
        <f t="shared" si="11"/>
        <v>0</v>
      </c>
    </row>
    <row r="143" spans="1:11" x14ac:dyDescent="0.2">
      <c r="A143">
        <v>142</v>
      </c>
      <c r="B143">
        <v>232.44</v>
      </c>
      <c r="C143">
        <v>42.48</v>
      </c>
      <c r="D143">
        <v>90.72</v>
      </c>
      <c r="E143" t="s">
        <v>7</v>
      </c>
      <c r="F143">
        <v>23.04</v>
      </c>
      <c r="G143">
        <v>90.72</v>
      </c>
      <c r="H143">
        <f t="shared" si="8"/>
        <v>1</v>
      </c>
      <c r="I143">
        <f t="shared" si="9"/>
        <v>0</v>
      </c>
      <c r="J143">
        <f t="shared" si="10"/>
        <v>0</v>
      </c>
      <c r="K143">
        <f t="shared" si="11"/>
        <v>0</v>
      </c>
    </row>
    <row r="144" spans="1:11" x14ac:dyDescent="0.2">
      <c r="A144">
        <v>143</v>
      </c>
      <c r="B144">
        <v>264.60000000000002</v>
      </c>
      <c r="C144">
        <v>39.840000000000003</v>
      </c>
      <c r="D144">
        <v>45.48</v>
      </c>
      <c r="E144" t="s">
        <v>18</v>
      </c>
      <c r="F144">
        <v>24.12</v>
      </c>
      <c r="G144">
        <v>45.48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1</v>
      </c>
    </row>
    <row r="145" spans="1:11" x14ac:dyDescent="0.2">
      <c r="A145">
        <v>144</v>
      </c>
      <c r="B145">
        <v>125.52</v>
      </c>
      <c r="C145">
        <v>6.84</v>
      </c>
      <c r="D145">
        <v>41.28</v>
      </c>
      <c r="E145" t="s">
        <v>15</v>
      </c>
      <c r="F145">
        <v>12.48</v>
      </c>
      <c r="G145">
        <v>41.28</v>
      </c>
      <c r="H145">
        <f t="shared" si="8"/>
        <v>0</v>
      </c>
      <c r="I145">
        <f t="shared" si="9"/>
        <v>0</v>
      </c>
      <c r="J145">
        <f t="shared" si="10"/>
        <v>1</v>
      </c>
      <c r="K145">
        <f t="shared" si="11"/>
        <v>0</v>
      </c>
    </row>
    <row r="146" spans="1:11" x14ac:dyDescent="0.2">
      <c r="A146">
        <v>145</v>
      </c>
      <c r="B146">
        <v>115.44</v>
      </c>
      <c r="C146">
        <v>17.760000000000002</v>
      </c>
      <c r="D146">
        <v>46.68</v>
      </c>
      <c r="E146" t="s">
        <v>15</v>
      </c>
      <c r="F146">
        <v>13.68</v>
      </c>
      <c r="G146">
        <v>46.68</v>
      </c>
      <c r="H146">
        <f t="shared" si="8"/>
        <v>0</v>
      </c>
      <c r="I146">
        <f t="shared" si="9"/>
        <v>0</v>
      </c>
      <c r="J146">
        <f t="shared" si="10"/>
        <v>1</v>
      </c>
      <c r="K146">
        <f t="shared" si="11"/>
        <v>0</v>
      </c>
    </row>
    <row r="147" spans="1:11" x14ac:dyDescent="0.2">
      <c r="A147">
        <v>146</v>
      </c>
      <c r="B147">
        <v>168.36</v>
      </c>
      <c r="C147">
        <v>2.2799999999999998</v>
      </c>
      <c r="D147">
        <v>10.8</v>
      </c>
      <c r="E147" t="s">
        <v>6</v>
      </c>
      <c r="F147">
        <v>12.36</v>
      </c>
      <c r="G147">
        <v>10.8</v>
      </c>
      <c r="H147">
        <f t="shared" si="8"/>
        <v>0</v>
      </c>
      <c r="I147">
        <f t="shared" si="9"/>
        <v>0</v>
      </c>
      <c r="J147">
        <f t="shared" si="10"/>
        <v>0</v>
      </c>
      <c r="K147">
        <f t="shared" si="11"/>
        <v>0</v>
      </c>
    </row>
    <row r="148" spans="1:11" x14ac:dyDescent="0.2">
      <c r="A148">
        <v>147</v>
      </c>
      <c r="B148">
        <v>288.12</v>
      </c>
      <c r="C148">
        <v>8.76</v>
      </c>
      <c r="D148">
        <v>10.44</v>
      </c>
      <c r="E148" t="s">
        <v>6</v>
      </c>
      <c r="F148">
        <v>15.84</v>
      </c>
      <c r="G148">
        <v>10.44</v>
      </c>
      <c r="H148">
        <f t="shared" si="8"/>
        <v>0</v>
      </c>
      <c r="I148">
        <f t="shared" si="9"/>
        <v>0</v>
      </c>
      <c r="J148">
        <f t="shared" si="10"/>
        <v>0</v>
      </c>
      <c r="K148">
        <f t="shared" si="11"/>
        <v>0</v>
      </c>
    </row>
    <row r="149" spans="1:11" x14ac:dyDescent="0.2">
      <c r="A149">
        <v>148</v>
      </c>
      <c r="B149">
        <v>291.83999999999997</v>
      </c>
      <c r="C149">
        <v>58.8</v>
      </c>
      <c r="D149">
        <v>53.16</v>
      </c>
      <c r="E149" t="s">
        <v>18</v>
      </c>
      <c r="F149">
        <v>30.48</v>
      </c>
      <c r="G149">
        <v>53.16</v>
      </c>
      <c r="H149">
        <f t="shared" si="8"/>
        <v>0</v>
      </c>
      <c r="I149">
        <f t="shared" si="9"/>
        <v>0</v>
      </c>
      <c r="J149">
        <f t="shared" si="10"/>
        <v>0</v>
      </c>
      <c r="K149">
        <f t="shared" si="11"/>
        <v>1</v>
      </c>
    </row>
    <row r="150" spans="1:11" x14ac:dyDescent="0.2">
      <c r="A150">
        <v>149</v>
      </c>
      <c r="B150">
        <v>45.6</v>
      </c>
      <c r="C150">
        <v>48.36</v>
      </c>
      <c r="D150">
        <v>14.28</v>
      </c>
      <c r="E150" t="s">
        <v>11</v>
      </c>
      <c r="F150">
        <v>13.08</v>
      </c>
      <c r="G150">
        <v>14.28</v>
      </c>
      <c r="H150">
        <f t="shared" si="8"/>
        <v>0</v>
      </c>
      <c r="I150">
        <f t="shared" si="9"/>
        <v>1</v>
      </c>
      <c r="J150">
        <f t="shared" si="10"/>
        <v>0</v>
      </c>
      <c r="K150">
        <f t="shared" si="11"/>
        <v>0</v>
      </c>
    </row>
    <row r="151" spans="1:11" x14ac:dyDescent="0.2">
      <c r="A151">
        <v>150</v>
      </c>
      <c r="B151">
        <v>53.64</v>
      </c>
      <c r="C151">
        <v>30.96</v>
      </c>
      <c r="D151">
        <v>24.72</v>
      </c>
      <c r="E151" t="s">
        <v>15</v>
      </c>
      <c r="F151">
        <v>12.12</v>
      </c>
      <c r="G151">
        <v>24.72</v>
      </c>
      <c r="H151">
        <f t="shared" si="8"/>
        <v>0</v>
      </c>
      <c r="I151">
        <f t="shared" si="9"/>
        <v>0</v>
      </c>
      <c r="J151">
        <f t="shared" si="10"/>
        <v>1</v>
      </c>
      <c r="K151">
        <f t="shared" si="11"/>
        <v>0</v>
      </c>
    </row>
    <row r="152" spans="1:11" x14ac:dyDescent="0.2">
      <c r="A152">
        <v>151</v>
      </c>
      <c r="B152">
        <v>336.84</v>
      </c>
      <c r="C152">
        <v>16.68</v>
      </c>
      <c r="D152">
        <v>44.4</v>
      </c>
      <c r="E152" t="s">
        <v>18</v>
      </c>
      <c r="F152">
        <v>19.32</v>
      </c>
      <c r="G152">
        <v>44.4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1</v>
      </c>
    </row>
    <row r="153" spans="1:11" x14ac:dyDescent="0.2">
      <c r="A153">
        <v>152</v>
      </c>
      <c r="B153">
        <v>145.19999999999999</v>
      </c>
      <c r="C153">
        <v>10.08</v>
      </c>
      <c r="D153">
        <v>58.44</v>
      </c>
      <c r="E153" t="s">
        <v>7</v>
      </c>
      <c r="F153">
        <v>13.92</v>
      </c>
      <c r="G153">
        <v>58.44</v>
      </c>
      <c r="H153">
        <f t="shared" si="8"/>
        <v>1</v>
      </c>
      <c r="I153">
        <f t="shared" si="9"/>
        <v>0</v>
      </c>
      <c r="J153">
        <f t="shared" si="10"/>
        <v>0</v>
      </c>
      <c r="K153">
        <f t="shared" si="11"/>
        <v>0</v>
      </c>
    </row>
    <row r="154" spans="1:11" x14ac:dyDescent="0.2">
      <c r="A154">
        <v>153</v>
      </c>
      <c r="B154">
        <v>237.12</v>
      </c>
      <c r="C154">
        <v>27.96</v>
      </c>
      <c r="D154">
        <v>17.04</v>
      </c>
      <c r="E154" t="s">
        <v>6</v>
      </c>
      <c r="F154">
        <v>19.920000000000002</v>
      </c>
      <c r="G154">
        <v>17.04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0</v>
      </c>
    </row>
    <row r="155" spans="1:11" x14ac:dyDescent="0.2">
      <c r="A155">
        <v>154</v>
      </c>
      <c r="B155">
        <v>205.56</v>
      </c>
      <c r="C155">
        <v>47.64</v>
      </c>
      <c r="D155">
        <v>45.24</v>
      </c>
      <c r="E155" t="s">
        <v>6</v>
      </c>
      <c r="F155">
        <v>22.8</v>
      </c>
      <c r="G155">
        <v>45.24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0</v>
      </c>
    </row>
    <row r="156" spans="1:11" x14ac:dyDescent="0.2">
      <c r="A156">
        <v>155</v>
      </c>
      <c r="B156">
        <v>225.36</v>
      </c>
      <c r="C156">
        <v>25.32</v>
      </c>
      <c r="D156">
        <v>11.4</v>
      </c>
      <c r="E156" t="s">
        <v>18</v>
      </c>
      <c r="F156">
        <v>18.72</v>
      </c>
      <c r="G156">
        <v>11.4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1</v>
      </c>
    </row>
    <row r="157" spans="1:11" x14ac:dyDescent="0.2">
      <c r="A157">
        <v>156</v>
      </c>
      <c r="B157">
        <v>4.92</v>
      </c>
      <c r="C157">
        <v>13.92</v>
      </c>
      <c r="D157">
        <v>6.84</v>
      </c>
      <c r="E157" t="s">
        <v>7</v>
      </c>
      <c r="F157">
        <v>3.84</v>
      </c>
      <c r="G157">
        <v>6.84</v>
      </c>
      <c r="H157">
        <f t="shared" si="8"/>
        <v>1</v>
      </c>
      <c r="I157">
        <f t="shared" si="9"/>
        <v>0</v>
      </c>
      <c r="J157">
        <f t="shared" si="10"/>
        <v>0</v>
      </c>
      <c r="K157">
        <f t="shared" si="11"/>
        <v>0</v>
      </c>
    </row>
    <row r="158" spans="1:11" x14ac:dyDescent="0.2">
      <c r="A158">
        <v>157</v>
      </c>
      <c r="B158">
        <v>112.68</v>
      </c>
      <c r="C158">
        <v>52.2</v>
      </c>
      <c r="D158">
        <v>60.6</v>
      </c>
      <c r="E158" t="s">
        <v>15</v>
      </c>
      <c r="F158">
        <v>18.36</v>
      </c>
      <c r="G158">
        <v>60.6</v>
      </c>
      <c r="H158">
        <f t="shared" si="8"/>
        <v>0</v>
      </c>
      <c r="I158">
        <f t="shared" si="9"/>
        <v>0</v>
      </c>
      <c r="J158">
        <f t="shared" si="10"/>
        <v>1</v>
      </c>
      <c r="K158">
        <f t="shared" si="11"/>
        <v>0</v>
      </c>
    </row>
    <row r="159" spans="1:11" x14ac:dyDescent="0.2">
      <c r="A159">
        <v>158</v>
      </c>
      <c r="B159">
        <v>179.76</v>
      </c>
      <c r="C159">
        <v>1.56</v>
      </c>
      <c r="D159">
        <v>29.16</v>
      </c>
      <c r="E159" t="s">
        <v>7</v>
      </c>
      <c r="F159">
        <v>12.12</v>
      </c>
      <c r="G159">
        <v>29.16</v>
      </c>
      <c r="H159">
        <f t="shared" si="8"/>
        <v>1</v>
      </c>
      <c r="I159">
        <f t="shared" si="9"/>
        <v>0</v>
      </c>
      <c r="J159">
        <f t="shared" si="10"/>
        <v>0</v>
      </c>
      <c r="K159">
        <f t="shared" si="11"/>
        <v>0</v>
      </c>
    </row>
    <row r="160" spans="1:11" x14ac:dyDescent="0.2">
      <c r="A160">
        <v>159</v>
      </c>
      <c r="B160">
        <v>14.04</v>
      </c>
      <c r="C160">
        <v>44.28</v>
      </c>
      <c r="D160">
        <v>54.24</v>
      </c>
      <c r="E160" t="s">
        <v>15</v>
      </c>
      <c r="F160">
        <v>8.76</v>
      </c>
      <c r="G160">
        <v>54.24</v>
      </c>
      <c r="H160">
        <f t="shared" si="8"/>
        <v>0</v>
      </c>
      <c r="I160">
        <f t="shared" si="9"/>
        <v>0</v>
      </c>
      <c r="J160">
        <f t="shared" si="10"/>
        <v>1</v>
      </c>
      <c r="K160">
        <f t="shared" si="11"/>
        <v>0</v>
      </c>
    </row>
    <row r="161" spans="1:11" x14ac:dyDescent="0.2">
      <c r="A161">
        <v>160</v>
      </c>
      <c r="B161">
        <v>158.04</v>
      </c>
      <c r="C161">
        <v>22.08</v>
      </c>
      <c r="D161">
        <v>41.52</v>
      </c>
      <c r="E161" t="s">
        <v>11</v>
      </c>
      <c r="F161">
        <v>15.48</v>
      </c>
      <c r="G161">
        <v>41.52</v>
      </c>
      <c r="H161">
        <f t="shared" si="8"/>
        <v>0</v>
      </c>
      <c r="I161">
        <f t="shared" si="9"/>
        <v>1</v>
      </c>
      <c r="J161">
        <f t="shared" si="10"/>
        <v>0</v>
      </c>
      <c r="K161">
        <f t="shared" si="11"/>
        <v>0</v>
      </c>
    </row>
    <row r="162" spans="1:11" x14ac:dyDescent="0.2">
      <c r="A162">
        <v>161</v>
      </c>
      <c r="B162">
        <v>207</v>
      </c>
      <c r="C162">
        <v>21.72</v>
      </c>
      <c r="D162">
        <v>36.840000000000003</v>
      </c>
      <c r="E162" t="s">
        <v>15</v>
      </c>
      <c r="F162">
        <v>17.28</v>
      </c>
      <c r="G162">
        <v>36.840000000000003</v>
      </c>
      <c r="H162">
        <f t="shared" si="8"/>
        <v>0</v>
      </c>
      <c r="I162">
        <f t="shared" si="9"/>
        <v>0</v>
      </c>
      <c r="J162">
        <f t="shared" si="10"/>
        <v>1</v>
      </c>
      <c r="K162">
        <f t="shared" si="11"/>
        <v>0</v>
      </c>
    </row>
    <row r="163" spans="1:11" x14ac:dyDescent="0.2">
      <c r="A163">
        <v>162</v>
      </c>
      <c r="B163">
        <v>102.84</v>
      </c>
      <c r="C163">
        <v>42.96</v>
      </c>
      <c r="D163">
        <v>59.16</v>
      </c>
      <c r="E163" t="s">
        <v>15</v>
      </c>
      <c r="F163">
        <v>15.96</v>
      </c>
      <c r="G163">
        <v>59.16</v>
      </c>
      <c r="H163">
        <f t="shared" si="8"/>
        <v>0</v>
      </c>
      <c r="I163">
        <f t="shared" si="9"/>
        <v>0</v>
      </c>
      <c r="J163">
        <f t="shared" si="10"/>
        <v>1</v>
      </c>
      <c r="K163">
        <f t="shared" si="11"/>
        <v>0</v>
      </c>
    </row>
    <row r="164" spans="1:11" x14ac:dyDescent="0.2">
      <c r="A164">
        <v>163</v>
      </c>
      <c r="B164">
        <v>226.08</v>
      </c>
      <c r="C164">
        <v>21.72</v>
      </c>
      <c r="D164">
        <v>30.72</v>
      </c>
      <c r="E164" t="s">
        <v>11</v>
      </c>
      <c r="F164">
        <v>17.88</v>
      </c>
      <c r="G164">
        <v>30.72</v>
      </c>
      <c r="H164">
        <f t="shared" si="8"/>
        <v>0</v>
      </c>
      <c r="I164">
        <f t="shared" si="9"/>
        <v>1</v>
      </c>
      <c r="J164">
        <f t="shared" si="10"/>
        <v>0</v>
      </c>
      <c r="K164">
        <f t="shared" si="11"/>
        <v>0</v>
      </c>
    </row>
    <row r="165" spans="1:11" x14ac:dyDescent="0.2">
      <c r="A165">
        <v>164</v>
      </c>
      <c r="B165">
        <v>196.2</v>
      </c>
      <c r="C165">
        <v>44.16</v>
      </c>
      <c r="D165">
        <v>8.8800000000000008</v>
      </c>
      <c r="E165" t="s">
        <v>11</v>
      </c>
      <c r="F165">
        <v>21.6</v>
      </c>
      <c r="G165">
        <v>8.8800000000000008</v>
      </c>
      <c r="H165">
        <f t="shared" si="8"/>
        <v>0</v>
      </c>
      <c r="I165">
        <f t="shared" si="9"/>
        <v>1</v>
      </c>
      <c r="J165">
        <f t="shared" si="10"/>
        <v>0</v>
      </c>
      <c r="K165">
        <f t="shared" si="11"/>
        <v>0</v>
      </c>
    </row>
    <row r="166" spans="1:11" x14ac:dyDescent="0.2">
      <c r="A166">
        <v>165</v>
      </c>
      <c r="B166">
        <v>140.63999999999999</v>
      </c>
      <c r="C166">
        <v>17.64</v>
      </c>
      <c r="D166">
        <v>6.48</v>
      </c>
      <c r="E166" t="s">
        <v>6</v>
      </c>
      <c r="F166">
        <v>14.28</v>
      </c>
      <c r="G166">
        <v>6.48</v>
      </c>
      <c r="H166">
        <f t="shared" si="8"/>
        <v>0</v>
      </c>
      <c r="I166">
        <f t="shared" si="9"/>
        <v>0</v>
      </c>
      <c r="J166">
        <f t="shared" si="10"/>
        <v>0</v>
      </c>
      <c r="K166">
        <f t="shared" si="11"/>
        <v>0</v>
      </c>
    </row>
    <row r="167" spans="1:11" x14ac:dyDescent="0.2">
      <c r="A167">
        <v>166</v>
      </c>
      <c r="B167">
        <v>281.39999999999998</v>
      </c>
      <c r="C167">
        <v>4.08</v>
      </c>
      <c r="D167">
        <v>101.76</v>
      </c>
      <c r="E167" t="s">
        <v>7</v>
      </c>
      <c r="F167">
        <v>14.28</v>
      </c>
      <c r="G167">
        <v>101.76</v>
      </c>
      <c r="H167">
        <f t="shared" si="8"/>
        <v>1</v>
      </c>
      <c r="I167">
        <f t="shared" si="9"/>
        <v>0</v>
      </c>
      <c r="J167">
        <f t="shared" si="10"/>
        <v>0</v>
      </c>
      <c r="K167">
        <f t="shared" si="11"/>
        <v>0</v>
      </c>
    </row>
    <row r="168" spans="1:11" x14ac:dyDescent="0.2">
      <c r="A168">
        <v>167</v>
      </c>
      <c r="B168">
        <v>21.48</v>
      </c>
      <c r="C168">
        <v>45.12</v>
      </c>
      <c r="D168">
        <v>25.92</v>
      </c>
      <c r="E168" t="s">
        <v>7</v>
      </c>
      <c r="F168">
        <v>9.6</v>
      </c>
      <c r="G168">
        <v>25.92</v>
      </c>
      <c r="H168">
        <f t="shared" si="8"/>
        <v>1</v>
      </c>
      <c r="I168">
        <f t="shared" si="9"/>
        <v>0</v>
      </c>
      <c r="J168">
        <f t="shared" si="10"/>
        <v>0</v>
      </c>
      <c r="K168">
        <f t="shared" si="11"/>
        <v>0</v>
      </c>
    </row>
    <row r="169" spans="1:11" x14ac:dyDescent="0.2">
      <c r="A169">
        <v>168</v>
      </c>
      <c r="B169">
        <v>248.16</v>
      </c>
      <c r="C169">
        <v>6.24</v>
      </c>
      <c r="D169">
        <v>23.28</v>
      </c>
      <c r="E169" t="s">
        <v>11</v>
      </c>
      <c r="F169">
        <v>14.64</v>
      </c>
      <c r="G169">
        <v>23.28</v>
      </c>
      <c r="H169">
        <f t="shared" si="8"/>
        <v>0</v>
      </c>
      <c r="I169">
        <f t="shared" si="9"/>
        <v>1</v>
      </c>
      <c r="J169">
        <f t="shared" si="10"/>
        <v>0</v>
      </c>
      <c r="K169">
        <f t="shared" si="11"/>
        <v>0</v>
      </c>
    </row>
    <row r="170" spans="1:11" x14ac:dyDescent="0.2">
      <c r="A170">
        <v>169</v>
      </c>
      <c r="B170">
        <v>258.48</v>
      </c>
      <c r="C170">
        <v>28.32</v>
      </c>
      <c r="D170">
        <v>69.12</v>
      </c>
      <c r="E170" t="s">
        <v>11</v>
      </c>
      <c r="F170">
        <v>20.52</v>
      </c>
      <c r="G170">
        <v>69.12</v>
      </c>
      <c r="H170">
        <f t="shared" si="8"/>
        <v>0</v>
      </c>
      <c r="I170">
        <f t="shared" si="9"/>
        <v>1</v>
      </c>
      <c r="J170">
        <f t="shared" si="10"/>
        <v>0</v>
      </c>
      <c r="K170">
        <f t="shared" si="11"/>
        <v>0</v>
      </c>
    </row>
    <row r="171" spans="1:11" x14ac:dyDescent="0.2">
      <c r="A171">
        <v>170</v>
      </c>
      <c r="B171">
        <v>341.16</v>
      </c>
      <c r="C171">
        <v>12.72</v>
      </c>
      <c r="D171">
        <v>7.68</v>
      </c>
      <c r="E171" t="s">
        <v>18</v>
      </c>
      <c r="F171">
        <v>18</v>
      </c>
      <c r="G171">
        <v>7.68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1</v>
      </c>
    </row>
    <row r="172" spans="1:11" x14ac:dyDescent="0.2">
      <c r="A172">
        <v>171</v>
      </c>
      <c r="B172">
        <v>60</v>
      </c>
      <c r="C172">
        <v>13.92</v>
      </c>
      <c r="D172">
        <v>22.08</v>
      </c>
      <c r="E172" t="s">
        <v>15</v>
      </c>
      <c r="F172">
        <v>10.08</v>
      </c>
      <c r="G172">
        <v>22.08</v>
      </c>
      <c r="H172">
        <f t="shared" si="8"/>
        <v>0</v>
      </c>
      <c r="I172">
        <f t="shared" si="9"/>
        <v>0</v>
      </c>
      <c r="J172">
        <f t="shared" si="10"/>
        <v>1</v>
      </c>
      <c r="K172">
        <f t="shared" si="11"/>
        <v>0</v>
      </c>
    </row>
    <row r="173" spans="1:11" x14ac:dyDescent="0.2">
      <c r="A173">
        <v>172</v>
      </c>
      <c r="B173">
        <v>197.4</v>
      </c>
      <c r="C173">
        <v>25.08</v>
      </c>
      <c r="D173">
        <v>56.88</v>
      </c>
      <c r="E173" t="s">
        <v>15</v>
      </c>
      <c r="F173">
        <v>17.399999999999999</v>
      </c>
      <c r="G173">
        <v>56.88</v>
      </c>
      <c r="H173">
        <f t="shared" si="8"/>
        <v>0</v>
      </c>
      <c r="I173">
        <f t="shared" si="9"/>
        <v>0</v>
      </c>
      <c r="J173">
        <f t="shared" si="10"/>
        <v>1</v>
      </c>
      <c r="K173">
        <f t="shared" si="11"/>
        <v>0</v>
      </c>
    </row>
    <row r="174" spans="1:11" x14ac:dyDescent="0.2">
      <c r="A174">
        <v>173</v>
      </c>
      <c r="B174">
        <v>23.52</v>
      </c>
      <c r="C174">
        <v>24.12</v>
      </c>
      <c r="D174">
        <v>20.399999999999999</v>
      </c>
      <c r="E174" t="s">
        <v>7</v>
      </c>
      <c r="F174">
        <v>9.1199999999999992</v>
      </c>
      <c r="G174">
        <v>20.399999999999999</v>
      </c>
      <c r="H174">
        <f t="shared" si="8"/>
        <v>1</v>
      </c>
      <c r="I174">
        <f t="shared" si="9"/>
        <v>0</v>
      </c>
      <c r="J174">
        <f t="shared" si="10"/>
        <v>0</v>
      </c>
      <c r="K174">
        <f t="shared" si="11"/>
        <v>0</v>
      </c>
    </row>
    <row r="175" spans="1:11" x14ac:dyDescent="0.2">
      <c r="A175">
        <v>174</v>
      </c>
      <c r="B175">
        <v>202.08</v>
      </c>
      <c r="C175">
        <v>8.52</v>
      </c>
      <c r="D175">
        <v>15.36</v>
      </c>
      <c r="E175" t="s">
        <v>11</v>
      </c>
      <c r="F175">
        <v>14.04</v>
      </c>
      <c r="G175">
        <v>15.36</v>
      </c>
      <c r="H175">
        <f t="shared" si="8"/>
        <v>0</v>
      </c>
      <c r="I175">
        <f t="shared" si="9"/>
        <v>1</v>
      </c>
      <c r="J175">
        <f t="shared" si="10"/>
        <v>0</v>
      </c>
      <c r="K175">
        <f t="shared" si="11"/>
        <v>0</v>
      </c>
    </row>
    <row r="176" spans="1:11" x14ac:dyDescent="0.2">
      <c r="A176">
        <v>175</v>
      </c>
      <c r="B176">
        <v>266.88</v>
      </c>
      <c r="C176">
        <v>4.08</v>
      </c>
      <c r="D176">
        <v>15.72</v>
      </c>
      <c r="E176" t="s">
        <v>11</v>
      </c>
      <c r="F176">
        <v>13.8</v>
      </c>
      <c r="G176">
        <v>15.72</v>
      </c>
      <c r="H176">
        <f t="shared" si="8"/>
        <v>0</v>
      </c>
      <c r="I176">
        <f t="shared" si="9"/>
        <v>1</v>
      </c>
      <c r="J176">
        <f t="shared" si="10"/>
        <v>0</v>
      </c>
      <c r="K176">
        <f t="shared" si="11"/>
        <v>0</v>
      </c>
    </row>
    <row r="177" spans="1:11" x14ac:dyDescent="0.2">
      <c r="A177">
        <v>176</v>
      </c>
      <c r="B177">
        <v>332.28</v>
      </c>
      <c r="C177">
        <v>58.68</v>
      </c>
      <c r="D177">
        <v>50.16</v>
      </c>
      <c r="E177" t="s">
        <v>18</v>
      </c>
      <c r="F177">
        <v>32.4</v>
      </c>
      <c r="G177">
        <v>50.16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1</v>
      </c>
    </row>
    <row r="178" spans="1:11" x14ac:dyDescent="0.2">
      <c r="A178">
        <v>177</v>
      </c>
      <c r="B178">
        <v>298.08</v>
      </c>
      <c r="C178">
        <v>36.24</v>
      </c>
      <c r="D178">
        <v>24.36</v>
      </c>
      <c r="E178" t="s">
        <v>18</v>
      </c>
      <c r="F178">
        <v>24.24</v>
      </c>
      <c r="G178">
        <v>24.36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1</v>
      </c>
    </row>
    <row r="179" spans="1:11" x14ac:dyDescent="0.2">
      <c r="A179">
        <v>178</v>
      </c>
      <c r="B179">
        <v>204.24</v>
      </c>
      <c r="C179">
        <v>9.36</v>
      </c>
      <c r="D179">
        <v>42.24</v>
      </c>
      <c r="E179" t="s">
        <v>7</v>
      </c>
      <c r="F179">
        <v>14.04</v>
      </c>
      <c r="G179">
        <v>42.24</v>
      </c>
      <c r="H179">
        <f t="shared" si="8"/>
        <v>1</v>
      </c>
      <c r="I179">
        <f t="shared" si="9"/>
        <v>0</v>
      </c>
      <c r="J179">
        <f t="shared" si="10"/>
        <v>0</v>
      </c>
      <c r="K179">
        <f t="shared" si="11"/>
        <v>0</v>
      </c>
    </row>
    <row r="180" spans="1:11" x14ac:dyDescent="0.2">
      <c r="A180">
        <v>179</v>
      </c>
      <c r="B180">
        <v>332.04</v>
      </c>
      <c r="C180">
        <v>2.76</v>
      </c>
      <c r="D180">
        <v>28.44</v>
      </c>
      <c r="E180" t="s">
        <v>7</v>
      </c>
      <c r="F180">
        <v>14.16</v>
      </c>
      <c r="G180">
        <v>28.44</v>
      </c>
      <c r="H180">
        <f t="shared" si="8"/>
        <v>1</v>
      </c>
      <c r="I180">
        <f t="shared" si="9"/>
        <v>0</v>
      </c>
      <c r="J180">
        <f t="shared" si="10"/>
        <v>0</v>
      </c>
      <c r="K180">
        <f t="shared" si="11"/>
        <v>0</v>
      </c>
    </row>
    <row r="181" spans="1:11" x14ac:dyDescent="0.2">
      <c r="A181">
        <v>180</v>
      </c>
      <c r="B181">
        <v>198.72</v>
      </c>
      <c r="C181">
        <v>12</v>
      </c>
      <c r="D181">
        <v>21.12</v>
      </c>
      <c r="E181" t="s">
        <v>6</v>
      </c>
      <c r="F181">
        <v>15.12</v>
      </c>
      <c r="G181">
        <v>21.12</v>
      </c>
      <c r="H181">
        <f t="shared" si="8"/>
        <v>0</v>
      </c>
      <c r="I181">
        <f t="shared" si="9"/>
        <v>0</v>
      </c>
      <c r="J181">
        <f t="shared" si="10"/>
        <v>0</v>
      </c>
      <c r="K181">
        <f t="shared" si="11"/>
        <v>0</v>
      </c>
    </row>
    <row r="182" spans="1:11" x14ac:dyDescent="0.2">
      <c r="A182">
        <v>181</v>
      </c>
      <c r="B182">
        <v>187.92</v>
      </c>
      <c r="C182">
        <v>3.12</v>
      </c>
      <c r="D182">
        <v>9.9600000000000009</v>
      </c>
      <c r="E182" t="s">
        <v>6</v>
      </c>
      <c r="F182">
        <v>12.6</v>
      </c>
      <c r="G182">
        <v>9.9600000000000009</v>
      </c>
      <c r="H182">
        <f t="shared" si="8"/>
        <v>0</v>
      </c>
      <c r="I182">
        <f t="shared" si="9"/>
        <v>0</v>
      </c>
      <c r="J182">
        <f t="shared" si="10"/>
        <v>0</v>
      </c>
      <c r="K182">
        <f t="shared" si="11"/>
        <v>0</v>
      </c>
    </row>
    <row r="183" spans="1:11" x14ac:dyDescent="0.2">
      <c r="A183">
        <v>182</v>
      </c>
      <c r="B183">
        <v>262.2</v>
      </c>
      <c r="C183">
        <v>6.48</v>
      </c>
      <c r="D183">
        <v>32.880000000000003</v>
      </c>
      <c r="E183" t="s">
        <v>18</v>
      </c>
      <c r="F183">
        <v>14.64</v>
      </c>
      <c r="G183">
        <v>32.880000000000003</v>
      </c>
      <c r="H183">
        <f t="shared" si="8"/>
        <v>0</v>
      </c>
      <c r="I183">
        <f t="shared" si="9"/>
        <v>0</v>
      </c>
      <c r="J183">
        <f t="shared" si="10"/>
        <v>0</v>
      </c>
      <c r="K183">
        <f t="shared" si="11"/>
        <v>1</v>
      </c>
    </row>
    <row r="184" spans="1:11" x14ac:dyDescent="0.2">
      <c r="A184">
        <v>183</v>
      </c>
      <c r="B184">
        <v>67.44</v>
      </c>
      <c r="C184">
        <v>6.84</v>
      </c>
      <c r="D184">
        <v>35.64</v>
      </c>
      <c r="E184" t="s">
        <v>15</v>
      </c>
      <c r="F184">
        <v>10.44</v>
      </c>
      <c r="G184">
        <v>35.64</v>
      </c>
      <c r="H184">
        <f t="shared" si="8"/>
        <v>0</v>
      </c>
      <c r="I184">
        <f t="shared" si="9"/>
        <v>0</v>
      </c>
      <c r="J184">
        <f t="shared" si="10"/>
        <v>1</v>
      </c>
      <c r="K184">
        <f t="shared" si="11"/>
        <v>0</v>
      </c>
    </row>
    <row r="185" spans="1:11" x14ac:dyDescent="0.2">
      <c r="A185">
        <v>184</v>
      </c>
      <c r="B185">
        <v>345.12</v>
      </c>
      <c r="C185">
        <v>51.6</v>
      </c>
      <c r="D185">
        <v>86.16</v>
      </c>
      <c r="E185" t="s">
        <v>18</v>
      </c>
      <c r="F185">
        <v>31.44</v>
      </c>
      <c r="G185">
        <v>86.16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1</v>
      </c>
    </row>
    <row r="186" spans="1:11" x14ac:dyDescent="0.2">
      <c r="A186">
        <v>185</v>
      </c>
      <c r="B186">
        <v>304.56</v>
      </c>
      <c r="C186">
        <v>25.56</v>
      </c>
      <c r="D186">
        <v>36</v>
      </c>
      <c r="E186" t="s">
        <v>6</v>
      </c>
      <c r="F186">
        <v>21.12</v>
      </c>
      <c r="G186">
        <v>36</v>
      </c>
      <c r="H186">
        <f t="shared" si="8"/>
        <v>0</v>
      </c>
      <c r="I186">
        <f t="shared" si="9"/>
        <v>0</v>
      </c>
      <c r="J186">
        <f t="shared" si="10"/>
        <v>0</v>
      </c>
      <c r="K186">
        <f t="shared" si="11"/>
        <v>0</v>
      </c>
    </row>
    <row r="187" spans="1:11" x14ac:dyDescent="0.2">
      <c r="A187">
        <v>186</v>
      </c>
      <c r="B187">
        <v>246</v>
      </c>
      <c r="C187">
        <v>54.12</v>
      </c>
      <c r="D187">
        <v>23.52</v>
      </c>
      <c r="E187" t="s">
        <v>18</v>
      </c>
      <c r="F187">
        <v>27.12</v>
      </c>
      <c r="G187">
        <v>23.52</v>
      </c>
      <c r="H187">
        <f t="shared" si="8"/>
        <v>0</v>
      </c>
      <c r="I187">
        <f t="shared" si="9"/>
        <v>0</v>
      </c>
      <c r="J187">
        <f t="shared" si="10"/>
        <v>0</v>
      </c>
      <c r="K187">
        <f t="shared" si="11"/>
        <v>1</v>
      </c>
    </row>
    <row r="188" spans="1:11" x14ac:dyDescent="0.2">
      <c r="A188">
        <v>187</v>
      </c>
      <c r="B188">
        <v>167.4</v>
      </c>
      <c r="C188">
        <v>2.52</v>
      </c>
      <c r="D188">
        <v>31.92</v>
      </c>
      <c r="E188" t="s">
        <v>15</v>
      </c>
      <c r="F188">
        <v>12.36</v>
      </c>
      <c r="G188">
        <v>31.92</v>
      </c>
      <c r="H188">
        <f t="shared" si="8"/>
        <v>0</v>
      </c>
      <c r="I188">
        <f t="shared" si="9"/>
        <v>0</v>
      </c>
      <c r="J188">
        <f t="shared" si="10"/>
        <v>1</v>
      </c>
      <c r="K188">
        <f t="shared" si="11"/>
        <v>0</v>
      </c>
    </row>
    <row r="189" spans="1:11" x14ac:dyDescent="0.2">
      <c r="A189">
        <v>188</v>
      </c>
      <c r="B189">
        <v>229.32</v>
      </c>
      <c r="C189">
        <v>34.44</v>
      </c>
      <c r="D189">
        <v>21.84</v>
      </c>
      <c r="E189" t="s">
        <v>18</v>
      </c>
      <c r="F189">
        <v>20.76</v>
      </c>
      <c r="G189">
        <v>21.84</v>
      </c>
      <c r="H189">
        <f t="shared" si="8"/>
        <v>0</v>
      </c>
      <c r="I189">
        <f t="shared" si="9"/>
        <v>0</v>
      </c>
      <c r="J189">
        <f t="shared" si="10"/>
        <v>0</v>
      </c>
      <c r="K189">
        <f t="shared" si="11"/>
        <v>1</v>
      </c>
    </row>
    <row r="190" spans="1:11" x14ac:dyDescent="0.2">
      <c r="A190">
        <v>189</v>
      </c>
      <c r="B190">
        <v>343.2</v>
      </c>
      <c r="C190">
        <v>16.68</v>
      </c>
      <c r="D190">
        <v>4.4400000000000004</v>
      </c>
      <c r="E190" t="s">
        <v>11</v>
      </c>
      <c r="F190">
        <v>19.079999999999998</v>
      </c>
      <c r="G190">
        <v>4.4400000000000004</v>
      </c>
      <c r="H190">
        <f t="shared" si="8"/>
        <v>0</v>
      </c>
      <c r="I190">
        <f t="shared" si="9"/>
        <v>1</v>
      </c>
      <c r="J190">
        <f t="shared" si="10"/>
        <v>0</v>
      </c>
      <c r="K190">
        <f t="shared" si="11"/>
        <v>0</v>
      </c>
    </row>
    <row r="191" spans="1:11" x14ac:dyDescent="0.2">
      <c r="A191">
        <v>190</v>
      </c>
      <c r="B191">
        <v>22.44</v>
      </c>
      <c r="C191">
        <v>14.52</v>
      </c>
      <c r="D191">
        <v>28.08</v>
      </c>
      <c r="E191" t="s">
        <v>11</v>
      </c>
      <c r="F191">
        <v>8.0399999999999991</v>
      </c>
      <c r="G191">
        <v>28.08</v>
      </c>
      <c r="H191">
        <f t="shared" si="8"/>
        <v>0</v>
      </c>
      <c r="I191">
        <f t="shared" si="9"/>
        <v>1</v>
      </c>
      <c r="J191">
        <f t="shared" si="10"/>
        <v>0</v>
      </c>
      <c r="K191">
        <f t="shared" si="11"/>
        <v>0</v>
      </c>
    </row>
    <row r="192" spans="1:11" x14ac:dyDescent="0.2">
      <c r="A192">
        <v>191</v>
      </c>
      <c r="B192">
        <v>47.4</v>
      </c>
      <c r="C192">
        <v>49.32</v>
      </c>
      <c r="D192">
        <v>6.96</v>
      </c>
      <c r="E192" t="s">
        <v>18</v>
      </c>
      <c r="F192">
        <v>12.96</v>
      </c>
      <c r="G192">
        <v>6.96</v>
      </c>
      <c r="H192">
        <f t="shared" si="8"/>
        <v>0</v>
      </c>
      <c r="I192">
        <f t="shared" si="9"/>
        <v>0</v>
      </c>
      <c r="J192">
        <f t="shared" si="10"/>
        <v>0</v>
      </c>
      <c r="K192">
        <f t="shared" si="11"/>
        <v>1</v>
      </c>
    </row>
    <row r="193" spans="1:11" x14ac:dyDescent="0.2">
      <c r="A193">
        <v>192</v>
      </c>
      <c r="B193">
        <v>90.6</v>
      </c>
      <c r="C193">
        <v>12.96</v>
      </c>
      <c r="D193">
        <v>7.2</v>
      </c>
      <c r="E193" t="s">
        <v>11</v>
      </c>
      <c r="F193">
        <v>11.88</v>
      </c>
      <c r="G193">
        <v>7.2</v>
      </c>
      <c r="H193">
        <f t="shared" si="8"/>
        <v>0</v>
      </c>
      <c r="I193">
        <f t="shared" si="9"/>
        <v>1</v>
      </c>
      <c r="J193">
        <f t="shared" si="10"/>
        <v>0</v>
      </c>
      <c r="K193">
        <f t="shared" si="11"/>
        <v>0</v>
      </c>
    </row>
    <row r="194" spans="1:11" x14ac:dyDescent="0.2">
      <c r="A194">
        <v>193</v>
      </c>
      <c r="B194">
        <v>20.64</v>
      </c>
      <c r="C194">
        <v>4.92</v>
      </c>
      <c r="D194">
        <v>37.92</v>
      </c>
      <c r="E194" t="s">
        <v>7</v>
      </c>
      <c r="F194">
        <v>7.08</v>
      </c>
      <c r="G194">
        <v>37.92</v>
      </c>
      <c r="H194">
        <f t="shared" si="8"/>
        <v>1</v>
      </c>
      <c r="I194">
        <f t="shared" si="9"/>
        <v>0</v>
      </c>
      <c r="J194">
        <f t="shared" si="10"/>
        <v>0</v>
      </c>
      <c r="K194">
        <f t="shared" si="11"/>
        <v>0</v>
      </c>
    </row>
    <row r="195" spans="1:11" x14ac:dyDescent="0.2">
      <c r="A195">
        <v>194</v>
      </c>
      <c r="B195">
        <v>200.16</v>
      </c>
      <c r="C195">
        <v>50.4</v>
      </c>
      <c r="D195">
        <v>4.32</v>
      </c>
      <c r="E195" t="s">
        <v>18</v>
      </c>
      <c r="F195">
        <v>23.52</v>
      </c>
      <c r="G195">
        <v>4.32</v>
      </c>
      <c r="H195">
        <f t="shared" ref="H195:H201" si="12">IF(E195="atlanta",1,0)</f>
        <v>0</v>
      </c>
      <c r="I195">
        <f t="shared" ref="I195:I201" si="13">IF(E195="los angeles",1,0)</f>
        <v>0</v>
      </c>
      <c r="J195">
        <f t="shared" ref="J195:J201" si="14">IF(E195="chicago",1,0)</f>
        <v>0</v>
      </c>
      <c r="K195">
        <f t="shared" ref="K195:K201" si="15">IF(E195="houston",1,0)</f>
        <v>1</v>
      </c>
    </row>
    <row r="196" spans="1:11" x14ac:dyDescent="0.2">
      <c r="A196">
        <v>195</v>
      </c>
      <c r="B196">
        <v>179.64</v>
      </c>
      <c r="C196">
        <v>42.72</v>
      </c>
      <c r="D196">
        <v>7.2</v>
      </c>
      <c r="E196" t="s">
        <v>18</v>
      </c>
      <c r="F196">
        <v>20.76</v>
      </c>
      <c r="G196">
        <v>7.2</v>
      </c>
      <c r="H196">
        <f t="shared" si="12"/>
        <v>0</v>
      </c>
      <c r="I196">
        <f t="shared" si="13"/>
        <v>0</v>
      </c>
      <c r="J196">
        <f t="shared" si="14"/>
        <v>0</v>
      </c>
      <c r="K196">
        <f t="shared" si="15"/>
        <v>1</v>
      </c>
    </row>
    <row r="197" spans="1:11" x14ac:dyDescent="0.2">
      <c r="A197">
        <v>196</v>
      </c>
      <c r="B197">
        <v>45.84</v>
      </c>
      <c r="C197">
        <v>4.4400000000000004</v>
      </c>
      <c r="D197">
        <v>16.559999999999999</v>
      </c>
      <c r="E197" t="s">
        <v>7</v>
      </c>
      <c r="F197">
        <v>9.1199999999999992</v>
      </c>
      <c r="G197">
        <v>16.559999999999999</v>
      </c>
      <c r="H197">
        <f t="shared" si="12"/>
        <v>1</v>
      </c>
      <c r="I197">
        <f t="shared" si="13"/>
        <v>0</v>
      </c>
      <c r="J197">
        <f t="shared" si="14"/>
        <v>0</v>
      </c>
      <c r="K197">
        <f t="shared" si="15"/>
        <v>0</v>
      </c>
    </row>
    <row r="198" spans="1:11" x14ac:dyDescent="0.2">
      <c r="A198">
        <v>197</v>
      </c>
      <c r="B198">
        <v>113.04</v>
      </c>
      <c r="C198">
        <v>5.88</v>
      </c>
      <c r="D198">
        <v>9.7200000000000006</v>
      </c>
      <c r="E198" t="s">
        <v>11</v>
      </c>
      <c r="F198">
        <v>11.64</v>
      </c>
      <c r="G198">
        <v>9.7200000000000006</v>
      </c>
      <c r="H198">
        <f t="shared" si="12"/>
        <v>0</v>
      </c>
      <c r="I198">
        <f t="shared" si="13"/>
        <v>1</v>
      </c>
      <c r="J198">
        <f t="shared" si="14"/>
        <v>0</v>
      </c>
      <c r="K198">
        <f t="shared" si="15"/>
        <v>0</v>
      </c>
    </row>
    <row r="199" spans="1:11" x14ac:dyDescent="0.2">
      <c r="A199">
        <v>198</v>
      </c>
      <c r="B199">
        <v>212.4</v>
      </c>
      <c r="C199">
        <v>11.16</v>
      </c>
      <c r="D199">
        <v>7.68</v>
      </c>
      <c r="E199" t="s">
        <v>6</v>
      </c>
      <c r="F199">
        <v>15.36</v>
      </c>
      <c r="G199">
        <v>7.68</v>
      </c>
      <c r="H199">
        <f t="shared" si="12"/>
        <v>0</v>
      </c>
      <c r="I199">
        <f t="shared" si="13"/>
        <v>0</v>
      </c>
      <c r="J199">
        <f t="shared" si="14"/>
        <v>0</v>
      </c>
      <c r="K199">
        <f t="shared" si="15"/>
        <v>0</v>
      </c>
    </row>
    <row r="200" spans="1:11" x14ac:dyDescent="0.2">
      <c r="A200">
        <v>199</v>
      </c>
      <c r="B200">
        <v>340.32</v>
      </c>
      <c r="C200">
        <v>50.4</v>
      </c>
      <c r="D200">
        <v>79.44</v>
      </c>
      <c r="E200" t="s">
        <v>18</v>
      </c>
      <c r="F200">
        <v>30.6</v>
      </c>
      <c r="G200">
        <v>79.44</v>
      </c>
      <c r="H200">
        <f t="shared" si="12"/>
        <v>0</v>
      </c>
      <c r="I200">
        <f t="shared" si="13"/>
        <v>0</v>
      </c>
      <c r="J200">
        <f t="shared" si="14"/>
        <v>0</v>
      </c>
      <c r="K200">
        <f t="shared" si="15"/>
        <v>1</v>
      </c>
    </row>
    <row r="201" spans="1:11" x14ac:dyDescent="0.2">
      <c r="A201">
        <v>200</v>
      </c>
      <c r="B201">
        <v>278.52</v>
      </c>
      <c r="C201">
        <v>10.32</v>
      </c>
      <c r="D201">
        <v>10.44</v>
      </c>
      <c r="E201" t="s">
        <v>11</v>
      </c>
      <c r="F201">
        <v>16.079999999999998</v>
      </c>
      <c r="G201">
        <v>10.44</v>
      </c>
      <c r="H201">
        <f t="shared" si="12"/>
        <v>0</v>
      </c>
      <c r="I201">
        <f t="shared" si="13"/>
        <v>1</v>
      </c>
      <c r="J201">
        <f t="shared" si="14"/>
        <v>0</v>
      </c>
      <c r="K201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B957-6021-4D96-AC02-184155A9CE9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</vt:lpstr>
      <vt:lpstr>marketing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Chastain, Raymond</dc:creator>
  <cp:keywords/>
  <dc:description/>
  <cp:lastModifiedBy>Achara, Achara</cp:lastModifiedBy>
  <cp:revision/>
  <dcterms:created xsi:type="dcterms:W3CDTF">2023-01-17T18:48:50Z</dcterms:created>
  <dcterms:modified xsi:type="dcterms:W3CDTF">2025-09-12T01:27:03Z</dcterms:modified>
  <cp:category/>
  <cp:contentStatus/>
</cp:coreProperties>
</file>