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upacha01_louisville_edu1/Documents/Grad School/UofL Grad/MSBA 620/Week Two/"/>
    </mc:Choice>
  </mc:AlternateContent>
  <xr:revisionPtr revIDLastSave="49" documentId="13_ncr:1_{F0CCDA28-96B4-4CFB-97C8-CDB5E17E89D6}" xr6:coauthVersionLast="47" xr6:coauthVersionMax="47" xr10:uidLastSave="{6EC4EEEA-EFA7-C642-BC36-3CD3EC7F944A}"/>
  <bookViews>
    <workbookView xWindow="0" yWindow="780" windowWidth="15580" windowHeight="21360" xr2:uid="{9BF3B8EB-51E8-497C-9C8B-F4BA20EBE8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H22" i="1"/>
  <c r="D17" i="1"/>
  <c r="D15" i="1"/>
  <c r="D14" i="1"/>
  <c r="D13" i="1"/>
  <c r="D12" i="1"/>
  <c r="D16" i="1" l="1"/>
  <c r="D23" i="1" s="1"/>
  <c r="D24" i="1" s="1"/>
  <c r="H23" i="1" l="1"/>
  <c r="D25" i="1" l="1"/>
  <c r="H25" i="1"/>
  <c r="H24" i="1"/>
</calcChain>
</file>

<file path=xl/sharedStrings.xml><?xml version="1.0" encoding="utf-8"?>
<sst xmlns="http://schemas.openxmlformats.org/spreadsheetml/2006/main" count="24" uniqueCount="20">
  <si>
    <t>x value of prediction:</t>
  </si>
  <si>
    <r>
      <t>MS</t>
    </r>
    <r>
      <rPr>
        <sz val="11"/>
        <color theme="1"/>
        <rFont val="Calibri"/>
        <family val="2"/>
        <scheme val="minor"/>
      </rPr>
      <t xml:space="preserve"> of Residual:</t>
    </r>
  </si>
  <si>
    <t>n</t>
  </si>
  <si>
    <t>t_crit</t>
  </si>
  <si>
    <t>Confidence level:</t>
  </si>
  <si>
    <t>Significance level</t>
  </si>
  <si>
    <t>Standard error of estimate</t>
  </si>
  <si>
    <t>Intercept value:</t>
  </si>
  <si>
    <t>Coefficient value:</t>
  </si>
  <si>
    <t>Estimate</t>
  </si>
  <si>
    <t>Margin of error</t>
  </si>
  <si>
    <t>Prediction interval</t>
  </si>
  <si>
    <t>LCL</t>
  </si>
  <si>
    <t>UCL</t>
  </si>
  <si>
    <t>Confidence interval</t>
  </si>
  <si>
    <t>Enter the following values from the regression output</t>
  </si>
  <si>
    <t>Enter the following values</t>
  </si>
  <si>
    <t>Mean of x</t>
  </si>
  <si>
    <t>Variance of x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</si>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</sst>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26</xdr:row>
      <xdr:rowOff>4764</xdr:rowOff>
    </xdr:from>
    <xdr:to>
      <xdr:col>3</xdr:col>
      <xdr:colOff>147638</xdr:colOff>
      <xdr:row>28</xdr:row>
      <xdr:rowOff>91099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244C23-6A72-4064-A1E9-B1179F1D7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1" y="4714877"/>
          <a:ext cx="1704975" cy="448286"/>
        </a:xfrm>
        <a:prstGeom prst="rect">
          <a:avLst/>
        </a:prstGeom>
      </xdr:spPr>
    </xdr:pic>
    <xdr:clientData/>
  </xdr:twoCellAnchor>
  <xdr:twoCellAnchor editAs="oneCell">
    <xdr:from>
      <xdr:col>6</xdr:col>
      <xdr:colOff>14288</xdr:colOff>
      <xdr:row>26</xdr:row>
      <xdr:rowOff>4763</xdr:rowOff>
    </xdr:from>
    <xdr:to>
      <xdr:col>7</xdr:col>
      <xdr:colOff>323850</xdr:colOff>
      <xdr:row>28</xdr:row>
      <xdr:rowOff>86680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C57C39-F36C-47FA-B635-449BE88BD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0126" y="4714876"/>
          <a:ext cx="1452562" cy="44386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4C896-65C6-4CAC-B28E-A7F30EF12F84}">
  <dimension ref="A1:H151"/>
  <sheetViews>
    <sheetView tabSelected="1" zoomScale="110" zoomScaleNormal="110" workbookViewId="0">
      <selection activeCell="A2" sqref="A2:A121"/>
    </sheetView>
  </sheetViews>
  <sheetFormatPr baseColWidth="10" defaultColWidth="8.83203125" defaultRowHeight="15" x14ac:dyDescent="0.2"/>
  <cols>
    <col min="3" max="3" width="21.83203125" bestFit="1" customWidth="1"/>
    <col min="7" max="7" width="16" bestFit="1" customWidth="1"/>
  </cols>
  <sheetData>
    <row r="1" spans="1:4" x14ac:dyDescent="0.2">
      <c r="A1" s="4" t="s">
        <v>19</v>
      </c>
      <c r="C1" s="2" t="s">
        <v>16</v>
      </c>
    </row>
    <row r="2" spans="1:4" x14ac:dyDescent="0.2">
      <c r="A2" s="5">
        <v>63</v>
      </c>
      <c r="C2" t="s">
        <v>0</v>
      </c>
      <c r="D2">
        <v>40</v>
      </c>
    </row>
    <row r="3" spans="1:4" x14ac:dyDescent="0.2">
      <c r="A3" s="5">
        <v>55</v>
      </c>
      <c r="C3" t="s">
        <v>4</v>
      </c>
      <c r="D3">
        <v>95</v>
      </c>
    </row>
    <row r="4" spans="1:4" x14ac:dyDescent="0.2">
      <c r="A4" s="5">
        <v>79</v>
      </c>
    </row>
    <row r="5" spans="1:4" x14ac:dyDescent="0.2">
      <c r="A5" s="5">
        <v>49</v>
      </c>
      <c r="C5" s="2" t="s">
        <v>15</v>
      </c>
    </row>
    <row r="6" spans="1:4" x14ac:dyDescent="0.2">
      <c r="A6" s="5">
        <v>75</v>
      </c>
      <c r="C6" t="s">
        <v>7</v>
      </c>
      <c r="D6">
        <v>153.89859458894904</v>
      </c>
    </row>
    <row r="7" spans="1:4" ht="16" thickBot="1" x14ac:dyDescent="0.25">
      <c r="A7" s="5">
        <v>25</v>
      </c>
      <c r="C7" t="s">
        <v>8</v>
      </c>
      <c r="D7" s="3">
        <v>1.958204960356519</v>
      </c>
    </row>
    <row r="8" spans="1:4" x14ac:dyDescent="0.2">
      <c r="A8" s="5">
        <v>62</v>
      </c>
      <c r="C8" s="1" t="s">
        <v>1</v>
      </c>
      <c r="D8">
        <v>1364.5136217093266</v>
      </c>
    </row>
    <row r="9" spans="1:4" x14ac:dyDescent="0.2">
      <c r="A9" s="5">
        <v>27</v>
      </c>
    </row>
    <row r="10" spans="1:4" x14ac:dyDescent="0.2">
      <c r="A10" s="5">
        <v>81</v>
      </c>
    </row>
    <row r="11" spans="1:4" x14ac:dyDescent="0.2">
      <c r="A11" s="5">
        <v>80</v>
      </c>
    </row>
    <row r="12" spans="1:4" x14ac:dyDescent="0.2">
      <c r="A12" s="5">
        <v>56</v>
      </c>
      <c r="C12" t="s">
        <v>2</v>
      </c>
      <c r="D12">
        <f>COUNTA(A:A)-1</f>
        <v>150</v>
      </c>
    </row>
    <row r="13" spans="1:4" x14ac:dyDescent="0.2">
      <c r="A13" s="5">
        <v>97</v>
      </c>
      <c r="C13" t="s">
        <v>17</v>
      </c>
      <c r="D13">
        <f>AVERAGE(A:A)</f>
        <v>65.333333333333329</v>
      </c>
    </row>
    <row r="14" spans="1:4" x14ac:dyDescent="0.2">
      <c r="A14" s="5">
        <v>75</v>
      </c>
      <c r="C14" t="s">
        <v>18</v>
      </c>
      <c r="D14">
        <f>_xlfn.VAR.S(A:A)</f>
        <v>494.17002237136489</v>
      </c>
    </row>
    <row r="15" spans="1:4" x14ac:dyDescent="0.2">
      <c r="A15" s="5">
        <v>40</v>
      </c>
      <c r="C15" t="s">
        <v>5</v>
      </c>
      <c r="D15">
        <f>1-D3/100</f>
        <v>5.0000000000000044E-2</v>
      </c>
    </row>
    <row r="16" spans="1:4" x14ac:dyDescent="0.2">
      <c r="A16" s="5">
        <v>90</v>
      </c>
      <c r="C16" t="s">
        <v>3</v>
      </c>
      <c r="D16">
        <f>_xlfn.T.INV.2T(D15,D12)</f>
        <v>1.9759053308966197</v>
      </c>
    </row>
    <row r="17" spans="1:8" x14ac:dyDescent="0.2">
      <c r="A17" s="5">
        <v>56</v>
      </c>
      <c r="C17" t="s">
        <v>6</v>
      </c>
      <c r="D17">
        <f>SQRT(D8)</f>
        <v>36.939323514505872</v>
      </c>
    </row>
    <row r="18" spans="1:8" x14ac:dyDescent="0.2">
      <c r="A18" s="5">
        <v>95</v>
      </c>
    </row>
    <row r="19" spans="1:8" x14ac:dyDescent="0.2">
      <c r="A19" s="5">
        <v>84</v>
      </c>
    </row>
    <row r="20" spans="1:8" x14ac:dyDescent="0.2">
      <c r="A20" s="5">
        <v>35</v>
      </c>
    </row>
    <row r="21" spans="1:8" x14ac:dyDescent="0.2">
      <c r="A21" s="5">
        <v>13</v>
      </c>
      <c r="C21" t="s">
        <v>11</v>
      </c>
      <c r="G21" t="s">
        <v>14</v>
      </c>
    </row>
    <row r="22" spans="1:8" x14ac:dyDescent="0.2">
      <c r="A22" s="5">
        <v>108</v>
      </c>
      <c r="C22" t="s">
        <v>9</v>
      </c>
      <c r="D22">
        <f>D6+D2*D7</f>
        <v>232.22679300320979</v>
      </c>
      <c r="G22" t="s">
        <v>9</v>
      </c>
      <c r="H22">
        <f>D6+D2*D7</f>
        <v>232.22679300320979</v>
      </c>
    </row>
    <row r="23" spans="1:8" x14ac:dyDescent="0.2">
      <c r="A23" s="5">
        <v>77</v>
      </c>
      <c r="C23" t="s">
        <v>10</v>
      </c>
      <c r="D23">
        <f>D16*D17*SQRT(1+1/D12+(D2-D13)^2/((D12-1)*D14))</f>
        <v>73.547847000433492</v>
      </c>
      <c r="G23" t="s">
        <v>10</v>
      </c>
      <c r="H23">
        <f>D16*D17*SQRT(1/D12+(D2-D13)^2/((D12-1)*D14))</f>
        <v>9.0525773007325228</v>
      </c>
    </row>
    <row r="24" spans="1:8" x14ac:dyDescent="0.2">
      <c r="A24" s="5">
        <v>92</v>
      </c>
      <c r="C24" t="s">
        <v>12</v>
      </c>
      <c r="D24">
        <f>D22-D23</f>
        <v>158.67894600277629</v>
      </c>
      <c r="G24" t="s">
        <v>12</v>
      </c>
      <c r="H24">
        <f>H22-H23</f>
        <v>223.17421570247728</v>
      </c>
    </row>
    <row r="25" spans="1:8" x14ac:dyDescent="0.2">
      <c r="A25" s="5">
        <v>60</v>
      </c>
      <c r="C25" t="s">
        <v>13</v>
      </c>
      <c r="D25">
        <f>D22+D23</f>
        <v>305.7746400036433</v>
      </c>
      <c r="G25" t="s">
        <v>13</v>
      </c>
      <c r="H25">
        <f>H22+H23</f>
        <v>241.2793703039423</v>
      </c>
    </row>
    <row r="26" spans="1:8" x14ac:dyDescent="0.2">
      <c r="A26" s="5">
        <v>77</v>
      </c>
    </row>
    <row r="27" spans="1:8" x14ac:dyDescent="0.2">
      <c r="A27" s="5">
        <v>69</v>
      </c>
    </row>
    <row r="28" spans="1:8" x14ac:dyDescent="0.2">
      <c r="A28" s="5">
        <v>91</v>
      </c>
    </row>
    <row r="29" spans="1:8" x14ac:dyDescent="0.2">
      <c r="A29" s="5">
        <v>55</v>
      </c>
    </row>
    <row r="30" spans="1:8" x14ac:dyDescent="0.2">
      <c r="A30" s="5">
        <v>87</v>
      </c>
    </row>
    <row r="31" spans="1:8" x14ac:dyDescent="0.2">
      <c r="A31" s="5">
        <v>61</v>
      </c>
    </row>
    <row r="32" spans="1:8" x14ac:dyDescent="0.2">
      <c r="A32" s="5">
        <v>116</v>
      </c>
    </row>
    <row r="33" spans="1:1" x14ac:dyDescent="0.2">
      <c r="A33" s="5">
        <v>68</v>
      </c>
    </row>
    <row r="34" spans="1:1" x14ac:dyDescent="0.2">
      <c r="A34" s="5">
        <v>73</v>
      </c>
    </row>
    <row r="35" spans="1:1" x14ac:dyDescent="0.2">
      <c r="A35" s="5">
        <v>88</v>
      </c>
    </row>
    <row r="36" spans="1:1" x14ac:dyDescent="0.2">
      <c r="A36" s="5">
        <v>35</v>
      </c>
    </row>
    <row r="37" spans="1:1" x14ac:dyDescent="0.2">
      <c r="A37" s="5">
        <v>31</v>
      </c>
    </row>
    <row r="38" spans="1:1" x14ac:dyDescent="0.2">
      <c r="A38" s="5">
        <v>57</v>
      </c>
    </row>
    <row r="39" spans="1:1" x14ac:dyDescent="0.2">
      <c r="A39" s="5">
        <v>102</v>
      </c>
    </row>
    <row r="40" spans="1:1" x14ac:dyDescent="0.2">
      <c r="A40" s="5">
        <v>59</v>
      </c>
    </row>
    <row r="41" spans="1:1" x14ac:dyDescent="0.2">
      <c r="A41" s="5">
        <v>11</v>
      </c>
    </row>
    <row r="42" spans="1:1" x14ac:dyDescent="0.2">
      <c r="A42" s="5">
        <v>63</v>
      </c>
    </row>
    <row r="43" spans="1:1" x14ac:dyDescent="0.2">
      <c r="A43" s="5">
        <v>96</v>
      </c>
    </row>
    <row r="44" spans="1:1" x14ac:dyDescent="0.2">
      <c r="A44" s="5">
        <v>43</v>
      </c>
    </row>
    <row r="45" spans="1:1" x14ac:dyDescent="0.2">
      <c r="A45" s="5">
        <v>74</v>
      </c>
    </row>
    <row r="46" spans="1:1" x14ac:dyDescent="0.2">
      <c r="A46" s="5">
        <v>78</v>
      </c>
    </row>
    <row r="47" spans="1:1" x14ac:dyDescent="0.2">
      <c r="A47" s="5">
        <v>26</v>
      </c>
    </row>
    <row r="48" spans="1:1" x14ac:dyDescent="0.2">
      <c r="A48" s="5">
        <v>18</v>
      </c>
    </row>
    <row r="49" spans="1:1" x14ac:dyDescent="0.2">
      <c r="A49" s="5">
        <v>68</v>
      </c>
    </row>
    <row r="50" spans="1:1" x14ac:dyDescent="0.2">
      <c r="A50" s="5">
        <v>75</v>
      </c>
    </row>
    <row r="51" spans="1:1" x14ac:dyDescent="0.2">
      <c r="A51" s="5">
        <v>99</v>
      </c>
    </row>
    <row r="52" spans="1:1" x14ac:dyDescent="0.2">
      <c r="A52" s="5">
        <v>44</v>
      </c>
    </row>
    <row r="53" spans="1:1" x14ac:dyDescent="0.2">
      <c r="A53" s="5">
        <v>76</v>
      </c>
    </row>
    <row r="54" spans="1:1" x14ac:dyDescent="0.2">
      <c r="A54" s="5">
        <v>100</v>
      </c>
    </row>
    <row r="55" spans="1:1" x14ac:dyDescent="0.2">
      <c r="A55" s="5">
        <v>82</v>
      </c>
    </row>
    <row r="56" spans="1:1" x14ac:dyDescent="0.2">
      <c r="A56" s="5">
        <v>55</v>
      </c>
    </row>
    <row r="57" spans="1:1" x14ac:dyDescent="0.2">
      <c r="A57" s="5">
        <v>49</v>
      </c>
    </row>
    <row r="58" spans="1:1" x14ac:dyDescent="0.2">
      <c r="A58" s="5">
        <v>55</v>
      </c>
    </row>
    <row r="59" spans="1:1" x14ac:dyDescent="0.2">
      <c r="A59" s="5">
        <v>36</v>
      </c>
    </row>
    <row r="60" spans="1:1" x14ac:dyDescent="0.2">
      <c r="A60" s="5">
        <v>58</v>
      </c>
    </row>
    <row r="61" spans="1:1" x14ac:dyDescent="0.2">
      <c r="A61" s="5">
        <v>90</v>
      </c>
    </row>
    <row r="62" spans="1:1" x14ac:dyDescent="0.2">
      <c r="A62" s="5">
        <v>99</v>
      </c>
    </row>
    <row r="63" spans="1:1" x14ac:dyDescent="0.2">
      <c r="A63" s="5">
        <v>117</v>
      </c>
    </row>
    <row r="64" spans="1:1" x14ac:dyDescent="0.2">
      <c r="A64" s="5">
        <v>53</v>
      </c>
    </row>
    <row r="65" spans="1:1" x14ac:dyDescent="0.2">
      <c r="A65" s="5">
        <v>39</v>
      </c>
    </row>
    <row r="66" spans="1:1" x14ac:dyDescent="0.2">
      <c r="A66" s="5">
        <v>60</v>
      </c>
    </row>
    <row r="67" spans="1:1" x14ac:dyDescent="0.2">
      <c r="A67" s="5">
        <v>76</v>
      </c>
    </row>
    <row r="68" spans="1:1" x14ac:dyDescent="0.2">
      <c r="A68" s="5">
        <v>70</v>
      </c>
    </row>
    <row r="69" spans="1:1" x14ac:dyDescent="0.2">
      <c r="A69" s="5">
        <v>81</v>
      </c>
    </row>
    <row r="70" spans="1:1" x14ac:dyDescent="0.2">
      <c r="A70" s="5">
        <v>15</v>
      </c>
    </row>
    <row r="71" spans="1:1" x14ac:dyDescent="0.2">
      <c r="A71" s="5">
        <v>55</v>
      </c>
    </row>
    <row r="72" spans="1:1" x14ac:dyDescent="0.2">
      <c r="A72" s="5">
        <v>104</v>
      </c>
    </row>
    <row r="73" spans="1:1" x14ac:dyDescent="0.2">
      <c r="A73" s="5">
        <v>40</v>
      </c>
    </row>
    <row r="74" spans="1:1" x14ac:dyDescent="0.2">
      <c r="A74" s="5">
        <v>65</v>
      </c>
    </row>
    <row r="75" spans="1:1" x14ac:dyDescent="0.2">
      <c r="A75" s="5">
        <v>68</v>
      </c>
    </row>
    <row r="76" spans="1:1" x14ac:dyDescent="0.2">
      <c r="A76" s="5">
        <v>48</v>
      </c>
    </row>
    <row r="77" spans="1:1" x14ac:dyDescent="0.2">
      <c r="A77" s="5">
        <v>52</v>
      </c>
    </row>
    <row r="78" spans="1:1" x14ac:dyDescent="0.2">
      <c r="A78" s="5">
        <v>24</v>
      </c>
    </row>
    <row r="79" spans="1:1" x14ac:dyDescent="0.2">
      <c r="A79" s="5">
        <v>52</v>
      </c>
    </row>
    <row r="80" spans="1:1" x14ac:dyDescent="0.2">
      <c r="A80" s="5">
        <v>65</v>
      </c>
    </row>
    <row r="81" spans="1:1" x14ac:dyDescent="0.2">
      <c r="A81" s="5">
        <v>76</v>
      </c>
    </row>
    <row r="82" spans="1:1" x14ac:dyDescent="0.2">
      <c r="A82" s="5">
        <v>83</v>
      </c>
    </row>
    <row r="83" spans="1:1" x14ac:dyDescent="0.2">
      <c r="A83" s="5">
        <v>48</v>
      </c>
    </row>
    <row r="84" spans="1:1" x14ac:dyDescent="0.2">
      <c r="A84" s="5">
        <v>66</v>
      </c>
    </row>
    <row r="85" spans="1:1" x14ac:dyDescent="0.2">
      <c r="A85" s="5">
        <v>60</v>
      </c>
    </row>
    <row r="86" spans="1:1" x14ac:dyDescent="0.2">
      <c r="A86" s="5">
        <v>39</v>
      </c>
    </row>
    <row r="87" spans="1:1" x14ac:dyDescent="0.2">
      <c r="A87" s="5">
        <v>78</v>
      </c>
    </row>
    <row r="88" spans="1:1" x14ac:dyDescent="0.2">
      <c r="A88" s="5">
        <v>59</v>
      </c>
    </row>
    <row r="89" spans="1:1" x14ac:dyDescent="0.2">
      <c r="A89" s="5">
        <v>67</v>
      </c>
    </row>
    <row r="90" spans="1:1" x14ac:dyDescent="0.2">
      <c r="A90" s="5">
        <v>85</v>
      </c>
    </row>
    <row r="91" spans="1:1" x14ac:dyDescent="0.2">
      <c r="A91" s="5">
        <v>47</v>
      </c>
    </row>
    <row r="92" spans="1:1" x14ac:dyDescent="0.2">
      <c r="A92" s="5">
        <v>72</v>
      </c>
    </row>
    <row r="93" spans="1:1" x14ac:dyDescent="0.2">
      <c r="A93" s="5">
        <v>99</v>
      </c>
    </row>
    <row r="94" spans="1:1" x14ac:dyDescent="0.2">
      <c r="A94" s="5">
        <v>22</v>
      </c>
    </row>
    <row r="95" spans="1:1" x14ac:dyDescent="0.2">
      <c r="A95" s="5">
        <v>83</v>
      </c>
    </row>
    <row r="96" spans="1:1" x14ac:dyDescent="0.2">
      <c r="A96" s="5">
        <v>78</v>
      </c>
    </row>
    <row r="97" spans="1:1" x14ac:dyDescent="0.2">
      <c r="A97" s="5">
        <v>89</v>
      </c>
    </row>
    <row r="98" spans="1:1" x14ac:dyDescent="0.2">
      <c r="A98" s="5">
        <v>47</v>
      </c>
    </row>
    <row r="99" spans="1:1" x14ac:dyDescent="0.2">
      <c r="A99" s="5">
        <v>72</v>
      </c>
    </row>
    <row r="100" spans="1:1" x14ac:dyDescent="0.2">
      <c r="A100" s="5">
        <v>67</v>
      </c>
    </row>
    <row r="101" spans="1:1" x14ac:dyDescent="0.2">
      <c r="A101" s="5">
        <v>80</v>
      </c>
    </row>
    <row r="102" spans="1:1" x14ac:dyDescent="0.2">
      <c r="A102" s="5">
        <v>43</v>
      </c>
    </row>
    <row r="103" spans="1:1" x14ac:dyDescent="0.2">
      <c r="A103" s="5">
        <v>110</v>
      </c>
    </row>
    <row r="104" spans="1:1" x14ac:dyDescent="0.2">
      <c r="A104" s="5">
        <v>99</v>
      </c>
    </row>
    <row r="105" spans="1:1" x14ac:dyDescent="0.2">
      <c r="A105" s="5">
        <v>50</v>
      </c>
    </row>
    <row r="106" spans="1:1" x14ac:dyDescent="0.2">
      <c r="A106" s="5">
        <v>54</v>
      </c>
    </row>
    <row r="107" spans="1:1" x14ac:dyDescent="0.2">
      <c r="A107" s="5">
        <v>105</v>
      </c>
    </row>
    <row r="108" spans="1:1" x14ac:dyDescent="0.2">
      <c r="A108" s="5">
        <v>84</v>
      </c>
    </row>
    <row r="109" spans="1:1" x14ac:dyDescent="0.2">
      <c r="A109" s="5">
        <v>58</v>
      </c>
    </row>
    <row r="110" spans="1:1" x14ac:dyDescent="0.2">
      <c r="A110" s="5">
        <v>53</v>
      </c>
    </row>
    <row r="111" spans="1:1" x14ac:dyDescent="0.2">
      <c r="A111" s="5">
        <v>96</v>
      </c>
    </row>
    <row r="112" spans="1:1" x14ac:dyDescent="0.2">
      <c r="A112" s="5">
        <v>71</v>
      </c>
    </row>
    <row r="113" spans="1:1" x14ac:dyDescent="0.2">
      <c r="A113" s="5">
        <v>82</v>
      </c>
    </row>
    <row r="114" spans="1:1" x14ac:dyDescent="0.2">
      <c r="A114" s="5">
        <v>53</v>
      </c>
    </row>
    <row r="115" spans="1:1" x14ac:dyDescent="0.2">
      <c r="A115" s="5">
        <v>106</v>
      </c>
    </row>
    <row r="116" spans="1:1" x14ac:dyDescent="0.2">
      <c r="A116" s="5">
        <v>101</v>
      </c>
    </row>
    <row r="117" spans="1:1" x14ac:dyDescent="0.2">
      <c r="A117" s="5">
        <v>38</v>
      </c>
    </row>
    <row r="118" spans="1:1" x14ac:dyDescent="0.2">
      <c r="A118" s="5">
        <v>76</v>
      </c>
    </row>
    <row r="119" spans="1:1" x14ac:dyDescent="0.2">
      <c r="A119" s="5">
        <v>103</v>
      </c>
    </row>
    <row r="120" spans="1:1" x14ac:dyDescent="0.2">
      <c r="A120" s="5">
        <v>32</v>
      </c>
    </row>
    <row r="121" spans="1:1" x14ac:dyDescent="0.2">
      <c r="A121" s="5">
        <v>41</v>
      </c>
    </row>
    <row r="122" spans="1:1" x14ac:dyDescent="0.2">
      <c r="A122" s="5">
        <v>59</v>
      </c>
    </row>
    <row r="123" spans="1:1" x14ac:dyDescent="0.2">
      <c r="A123" s="5">
        <v>64</v>
      </c>
    </row>
    <row r="124" spans="1:1" x14ac:dyDescent="0.2">
      <c r="A124" s="5">
        <v>59</v>
      </c>
    </row>
    <row r="125" spans="1:1" x14ac:dyDescent="0.2">
      <c r="A125" s="5">
        <v>53</v>
      </c>
    </row>
    <row r="126" spans="1:1" x14ac:dyDescent="0.2">
      <c r="A126" s="5">
        <v>53</v>
      </c>
    </row>
    <row r="127" spans="1:1" x14ac:dyDescent="0.2">
      <c r="A127" s="5">
        <v>55</v>
      </c>
    </row>
    <row r="128" spans="1:1" x14ac:dyDescent="0.2">
      <c r="A128" s="5">
        <v>53</v>
      </c>
    </row>
    <row r="129" spans="1:1" x14ac:dyDescent="0.2">
      <c r="A129" s="5">
        <v>49</v>
      </c>
    </row>
    <row r="130" spans="1:1" x14ac:dyDescent="0.2">
      <c r="A130" s="5">
        <v>58</v>
      </c>
    </row>
    <row r="131" spans="1:1" x14ac:dyDescent="0.2">
      <c r="A131" s="5">
        <v>63</v>
      </c>
    </row>
    <row r="132" spans="1:1" x14ac:dyDescent="0.2">
      <c r="A132" s="5">
        <v>46</v>
      </c>
    </row>
    <row r="133" spans="1:1" x14ac:dyDescent="0.2">
      <c r="A133" s="5">
        <v>74</v>
      </c>
    </row>
    <row r="134" spans="1:1" x14ac:dyDescent="0.2">
      <c r="A134" s="5">
        <v>60</v>
      </c>
    </row>
    <row r="135" spans="1:1" x14ac:dyDescent="0.2">
      <c r="A135" s="5">
        <v>70</v>
      </c>
    </row>
    <row r="136" spans="1:1" x14ac:dyDescent="0.2">
      <c r="A136" s="5">
        <v>41</v>
      </c>
    </row>
    <row r="137" spans="1:1" x14ac:dyDescent="0.2">
      <c r="A137" s="5">
        <v>48</v>
      </c>
    </row>
    <row r="138" spans="1:1" x14ac:dyDescent="0.2">
      <c r="A138" s="5">
        <v>59</v>
      </c>
    </row>
    <row r="139" spans="1:1" x14ac:dyDescent="0.2">
      <c r="A139" s="5">
        <v>53</v>
      </c>
    </row>
    <row r="140" spans="1:1" x14ac:dyDescent="0.2">
      <c r="A140" s="5">
        <v>60</v>
      </c>
    </row>
    <row r="141" spans="1:1" x14ac:dyDescent="0.2">
      <c r="A141" s="5">
        <v>44</v>
      </c>
    </row>
    <row r="142" spans="1:1" x14ac:dyDescent="0.2">
      <c r="A142" s="5">
        <v>65</v>
      </c>
    </row>
    <row r="143" spans="1:1" x14ac:dyDescent="0.2">
      <c r="A143" s="5">
        <v>58</v>
      </c>
    </row>
    <row r="144" spans="1:1" x14ac:dyDescent="0.2">
      <c r="A144" s="5">
        <v>76</v>
      </c>
    </row>
    <row r="145" spans="1:1" x14ac:dyDescent="0.2">
      <c r="A145" s="5">
        <v>60</v>
      </c>
    </row>
    <row r="146" spans="1:1" x14ac:dyDescent="0.2">
      <c r="A146" s="5">
        <v>69</v>
      </c>
    </row>
    <row r="147" spans="1:1" x14ac:dyDescent="0.2">
      <c r="A147" s="5">
        <v>65</v>
      </c>
    </row>
    <row r="148" spans="1:1" x14ac:dyDescent="0.2">
      <c r="A148" s="5">
        <v>72</v>
      </c>
    </row>
    <row r="149" spans="1:1" x14ac:dyDescent="0.2">
      <c r="A149" s="5">
        <v>80</v>
      </c>
    </row>
    <row r="150" spans="1:1" x14ac:dyDescent="0.2">
      <c r="A150" s="5">
        <v>59</v>
      </c>
    </row>
    <row r="151" spans="1:1" x14ac:dyDescent="0.2">
      <c r="A151" s="5">
        <v>81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Chastain, Raymond</dc:creator>
  <cp:lastModifiedBy>Achara, Achara</cp:lastModifiedBy>
  <dcterms:created xsi:type="dcterms:W3CDTF">2023-04-05T22:37:37Z</dcterms:created>
  <dcterms:modified xsi:type="dcterms:W3CDTF">2025-09-22T18:59:50Z</dcterms:modified>
</cp:coreProperties>
</file>