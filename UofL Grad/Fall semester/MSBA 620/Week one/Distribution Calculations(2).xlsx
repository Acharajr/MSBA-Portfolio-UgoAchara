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188" documentId="11_B6ADC0683F9AEE250F32536139DD7B2A40A9CD2D" xr6:coauthVersionLast="47" xr6:coauthVersionMax="47" xr10:uidLastSave="{B932ED8B-592B-4AE6-B319-1DCB575DF4A8}"/>
  <bookViews>
    <workbookView xWindow="0" yWindow="0" windowWidth="19200" windowHeight="1266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C11" i="1"/>
  <c r="D7" i="1"/>
  <c r="C7" i="1"/>
  <c r="A7" i="1"/>
  <c r="C15" i="1"/>
  <c r="F2" i="1"/>
  <c r="E7" i="1" l="1"/>
  <c r="G7" i="1" s="1"/>
  <c r="F7" i="1" l="1"/>
  <c r="A19" i="1"/>
  <c r="D19" i="1" s="1"/>
  <c r="E3" i="1"/>
  <c r="F3" i="1" s="1"/>
  <c r="G3" i="1" s="1"/>
  <c r="G2" i="1"/>
  <c r="H3" i="1" l="1"/>
</calcChain>
</file>

<file path=xl/sharedStrings.xml><?xml version="1.0" encoding="utf-8"?>
<sst xmlns="http://schemas.openxmlformats.org/spreadsheetml/2006/main" count="28" uniqueCount="21">
  <si>
    <t>X</t>
  </si>
  <si>
    <t>Mean</t>
  </si>
  <si>
    <t>Standadrd Dev</t>
  </si>
  <si>
    <t>Sample Size</t>
  </si>
  <si>
    <t>standard error</t>
  </si>
  <si>
    <t>Standardize</t>
  </si>
  <si>
    <t>Prob</t>
  </si>
  <si>
    <t>1-prob</t>
  </si>
  <si>
    <t>Normal Dist</t>
  </si>
  <si>
    <t>Sampling Dist</t>
  </si>
  <si>
    <t>Confidence Intervals</t>
  </si>
  <si>
    <t>Alpha</t>
  </si>
  <si>
    <t>Std Dev</t>
  </si>
  <si>
    <t>UCL</t>
  </si>
  <si>
    <t>LCL</t>
  </si>
  <si>
    <t>Calculating Z value from Probability</t>
  </si>
  <si>
    <t>Probability</t>
  </si>
  <si>
    <t>Z-value</t>
  </si>
  <si>
    <t>Calculating Probability from Z value</t>
  </si>
  <si>
    <t>Calculating X fom Z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</si>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</sst>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1" sqref="C1:D1048576"/>
    </sheetView>
  </sheetViews>
  <sheetFormatPr defaultRowHeight="14.25"/>
  <cols>
    <col min="2" max="2" width="9.28515625" bestFit="1" customWidth="1"/>
    <col min="3" max="4" width="14.140625" customWidth="1"/>
    <col min="5" max="5" width="12" bestFit="1" customWidth="1"/>
    <col min="6" max="6" width="9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>
        <v>5800</v>
      </c>
      <c r="B2">
        <v>6120.67</v>
      </c>
      <c r="C2">
        <v>1943.193</v>
      </c>
      <c r="D2">
        <v>100</v>
      </c>
      <c r="F2">
        <f>STANDARDIZE(A2,B2,C2)</f>
        <v>-0.16502220829325759</v>
      </c>
      <c r="G2">
        <f>_xlfn.NORM.S.DIST(F2,TRUE)</f>
        <v>0.43446325100416838</v>
      </c>
      <c r="H2">
        <f>1-G2</f>
        <v>0.56553674899583162</v>
      </c>
      <c r="I2" t="s">
        <v>8</v>
      </c>
    </row>
    <row r="3" spans="1:9">
      <c r="E3">
        <f>C2/SQRT(D2)</f>
        <v>194.3193</v>
      </c>
      <c r="F3">
        <f>STANDARDIZE(A2,B2,E3)</f>
        <v>-1.6502220829325758</v>
      </c>
      <c r="G3">
        <f>_xlfn.NORM.S.DIST(F3,TRUE)</f>
        <v>4.9448760900107157E-2</v>
      </c>
      <c r="H3">
        <f>1-G3</f>
        <v>0.95055123909989281</v>
      </c>
      <c r="I3" t="s">
        <v>9</v>
      </c>
    </row>
    <row r="5" spans="1:9">
      <c r="A5" s="1" t="s">
        <v>10</v>
      </c>
      <c r="B5" s="1"/>
      <c r="C5" s="1"/>
      <c r="D5" s="1"/>
      <c r="E5" s="1"/>
      <c r="F5" s="1"/>
      <c r="G5" s="1"/>
      <c r="H5" s="1"/>
      <c r="I5" s="1"/>
    </row>
    <row r="6" spans="1:9">
      <c r="A6" t="s">
        <v>1</v>
      </c>
      <c r="B6" t="s">
        <v>11</v>
      </c>
      <c r="C6" t="s">
        <v>12</v>
      </c>
      <c r="D6" t="s">
        <v>3</v>
      </c>
      <c r="F6" t="s">
        <v>13</v>
      </c>
      <c r="G6" t="s">
        <v>14</v>
      </c>
    </row>
    <row r="7" spans="1:9">
      <c r="A7">
        <f>B2</f>
        <v>6120.67</v>
      </c>
      <c r="B7">
        <v>0.05</v>
      </c>
      <c r="C7">
        <f>C2</f>
        <v>1943.193</v>
      </c>
      <c r="D7">
        <f>D2</f>
        <v>100</v>
      </c>
      <c r="E7">
        <f>CONFIDENCE(B7, C7, D7)</f>
        <v>380.85882950103405</v>
      </c>
      <c r="F7">
        <f>A7+E7</f>
        <v>6501.5288295010341</v>
      </c>
      <c r="G7">
        <f>A7-E7</f>
        <v>5739.811170498966</v>
      </c>
    </row>
    <row r="9" spans="1:9">
      <c r="A9" s="1" t="s">
        <v>15</v>
      </c>
      <c r="B9" s="1"/>
      <c r="C9" s="1"/>
      <c r="D9" s="1"/>
      <c r="E9" s="1"/>
      <c r="F9" s="1"/>
      <c r="G9" s="1"/>
      <c r="H9" s="1"/>
    </row>
    <row r="10" spans="1:9">
      <c r="B10" t="s">
        <v>16</v>
      </c>
      <c r="C10" t="s">
        <v>17</v>
      </c>
    </row>
    <row r="11" spans="1:9">
      <c r="B11">
        <v>0.9</v>
      </c>
      <c r="C11">
        <f>NORMSINV(B11)</f>
        <v>1.2815515655446006</v>
      </c>
    </row>
    <row r="13" spans="1:9">
      <c r="A13" s="1" t="s">
        <v>18</v>
      </c>
      <c r="B13" s="1"/>
      <c r="C13" s="1"/>
      <c r="D13" s="1"/>
      <c r="E13" s="1"/>
      <c r="F13" s="1"/>
      <c r="G13" s="1"/>
      <c r="H13" s="1"/>
    </row>
    <row r="14" spans="1:9">
      <c r="B14" t="s">
        <v>17</v>
      </c>
      <c r="C14" t="s">
        <v>16</v>
      </c>
    </row>
    <row r="15" spans="1:9">
      <c r="B15">
        <v>-0.25334709999999999</v>
      </c>
      <c r="C15">
        <f>_xlfn.NORM.S.DIST(B15,TRUE)</f>
        <v>0.40000000121149282</v>
      </c>
    </row>
    <row r="17" spans="1:7">
      <c r="A17" s="1" t="s">
        <v>19</v>
      </c>
      <c r="B17" s="1"/>
      <c r="C17" s="1"/>
      <c r="D17" s="1"/>
      <c r="E17" s="1"/>
      <c r="F17" s="1"/>
      <c r="G17" s="1"/>
    </row>
    <row r="18" spans="1:7">
      <c r="A18" t="s">
        <v>20</v>
      </c>
      <c r="B18" t="s">
        <v>1</v>
      </c>
      <c r="C18" t="s">
        <v>2</v>
      </c>
      <c r="D18" t="s">
        <v>0</v>
      </c>
    </row>
    <row r="19" spans="1:7">
      <c r="A19">
        <f>C11</f>
        <v>1.2815515655446006</v>
      </c>
      <c r="B19">
        <v>920</v>
      </c>
      <c r="C19">
        <v>100</v>
      </c>
      <c r="D19">
        <f>(A19*C19)+B19</f>
        <v>1048.1551565544601</v>
      </c>
    </row>
  </sheetData>
  <mergeCells count="4">
    <mergeCell ref="A5:I5"/>
    <mergeCell ref="A9:H9"/>
    <mergeCell ref="A13:H13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Achara, Achara</cp:lastModifiedBy>
  <cp:revision/>
  <dcterms:created xsi:type="dcterms:W3CDTF">2017-06-12T21:23:50Z</dcterms:created>
  <dcterms:modified xsi:type="dcterms:W3CDTF">2025-08-19T23:01:27Z</dcterms:modified>
  <cp:category/>
  <cp:contentStatus/>
</cp:coreProperties>
</file>