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hara.jr/Library/CloudStorage/OneDrive-NorthwesternUniversity/Grad School/UofL Grad/MSBA 620/Week one/"/>
    </mc:Choice>
  </mc:AlternateContent>
  <xr:revisionPtr revIDLastSave="0" documentId="13_ncr:1_{5B25348D-0DD7-0649-A797-0608DFA6A763}" xr6:coauthVersionLast="47" xr6:coauthVersionMax="47" xr10:uidLastSave="{00000000-0000-0000-0000-000000000000}"/>
  <bookViews>
    <workbookView xWindow="0" yWindow="0" windowWidth="28800" windowHeight="18000" xr2:uid="{ABADFC9F-AC2D-4354-902F-782F4D8BEAC0}"/>
  </bookViews>
  <sheets>
    <sheet name="Matched Pairs Analysis (2)" sheetId="1" r:id="rId1"/>
  </sheets>
  <definedNames>
    <definedName name="nd">'Matched Pairs Analysis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" i="1"/>
</calcChain>
</file>

<file path=xl/sharedStrings.xml><?xml version="1.0" encoding="utf-8"?>
<sst xmlns="http://schemas.openxmlformats.org/spreadsheetml/2006/main" count="31" uniqueCount="27">
  <si>
    <t>Finance Offer</t>
  </si>
  <si>
    <t>GPA(Finance)</t>
  </si>
  <si>
    <t>Marketing Offer</t>
  </si>
  <si>
    <t>GPA(Marketing)</t>
  </si>
  <si>
    <t>difference</t>
  </si>
  <si>
    <t>Null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</si>
  <si>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</si>
  <si>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</si>
  <si>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</si>
  <si>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</si>
  <si>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</si>
  <si>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</si>
  <si>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</si>
  <si>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</si>
  <si>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</si>
  <si>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</si>
  <si>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</si>
  <si>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meandiff</t>
  </si>
  <si>
    <t>stderr</t>
  </si>
  <si>
    <t>tcrit</t>
  </si>
  <si>
    <t>marerr</t>
  </si>
  <si>
    <t>LCL</t>
  </si>
  <si>
    <t>UCL</t>
  </si>
  <si>
    <t>Est of meandiff</t>
  </si>
  <si>
    <t xml:space="preserve">confidence level </t>
  </si>
  <si>
    <t>5100+/- 2700</t>
  </si>
  <si>
    <t>(2300, 7800)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</si>
</sst>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FDA3-3493-4FC6-ABAE-A3B795F1A2F0}">
  <dimension ref="A1:P26"/>
  <sheetViews>
    <sheetView tabSelected="1" topLeftCell="F1" zoomScale="180" zoomScaleNormal="180" workbookViewId="0">
      <selection activeCell="P14" sqref="P14"/>
    </sheetView>
  </sheetViews>
  <sheetFormatPr baseColWidth="10" defaultColWidth="8.83203125" defaultRowHeight="15" x14ac:dyDescent="0.2"/>
  <cols>
    <col min="1" max="2" width="13.1640625" bestFit="1" customWidth="1"/>
    <col min="3" max="4" width="15.33203125" bestFit="1" customWidth="1"/>
    <col min="7" max="7" width="11.33203125" bestFit="1" customWidth="1"/>
    <col min="8" max="8" width="13.33203125" bestFit="1" customWidth="1"/>
    <col min="12" max="12" width="39" bestFit="1" customWidth="1"/>
    <col min="14" max="14" width="5" bestFit="1" customWidth="1"/>
    <col min="15" max="15" width="13.83203125" bestFit="1" customWidth="1"/>
    <col min="16" max="16" width="10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2</v>
      </c>
      <c r="I1" s="1" t="s">
        <v>4</v>
      </c>
      <c r="J1" s="1" t="s">
        <v>5</v>
      </c>
      <c r="L1" t="s">
        <v>6</v>
      </c>
    </row>
    <row r="2" spans="1:16" ht="16" thickBot="1" x14ac:dyDescent="0.25">
      <c r="A2">
        <v>95171</v>
      </c>
      <c r="B2" s="2">
        <v>3.97</v>
      </c>
      <c r="C2">
        <v>89392</v>
      </c>
      <c r="D2" s="2">
        <v>3.98</v>
      </c>
      <c r="G2">
        <v>95171</v>
      </c>
      <c r="H2">
        <v>89392</v>
      </c>
      <c r="I2">
        <f>G2-H2</f>
        <v>5779</v>
      </c>
      <c r="J2">
        <v>0</v>
      </c>
    </row>
    <row r="3" spans="1:16" x14ac:dyDescent="0.2">
      <c r="A3">
        <v>88009</v>
      </c>
      <c r="B3" s="2">
        <v>3.87</v>
      </c>
      <c r="C3">
        <v>92705</v>
      </c>
      <c r="D3" s="2">
        <v>3.9</v>
      </c>
      <c r="G3">
        <v>88009</v>
      </c>
      <c r="H3">
        <v>92705</v>
      </c>
      <c r="I3">
        <f t="shared" ref="I3:I26" si="0">G3-H3</f>
        <v>-4696</v>
      </c>
      <c r="J3">
        <v>0</v>
      </c>
      <c r="L3" s="5"/>
      <c r="M3" s="5" t="s">
        <v>4</v>
      </c>
      <c r="N3" s="5" t="s">
        <v>5</v>
      </c>
    </row>
    <row r="4" spans="1:16" x14ac:dyDescent="0.2">
      <c r="A4">
        <v>98089</v>
      </c>
      <c r="B4" s="2">
        <v>3.78</v>
      </c>
      <c r="C4">
        <v>99205</v>
      </c>
      <c r="D4" s="2">
        <v>3.77</v>
      </c>
      <c r="G4">
        <v>98089</v>
      </c>
      <c r="H4">
        <v>99205</v>
      </c>
      <c r="I4">
        <f t="shared" si="0"/>
        <v>-1116</v>
      </c>
      <c r="L4" s="3" t="s">
        <v>7</v>
      </c>
      <c r="M4" s="3">
        <v>5072.8</v>
      </c>
      <c r="N4" s="3">
        <v>0</v>
      </c>
      <c r="O4" t="s">
        <v>17</v>
      </c>
      <c r="P4">
        <f>M4</f>
        <v>5072.8</v>
      </c>
    </row>
    <row r="5" spans="1:16" x14ac:dyDescent="0.2">
      <c r="A5">
        <v>106322</v>
      </c>
      <c r="B5" s="2">
        <v>3.76</v>
      </c>
      <c r="C5">
        <v>99003</v>
      </c>
      <c r="D5" s="2">
        <v>3.75</v>
      </c>
      <c r="G5">
        <v>106322</v>
      </c>
      <c r="H5">
        <v>99003</v>
      </c>
      <c r="I5">
        <f t="shared" si="0"/>
        <v>7319</v>
      </c>
      <c r="L5" s="3" t="s">
        <v>8</v>
      </c>
      <c r="M5" s="3">
        <v>43937592.583333336</v>
      </c>
      <c r="N5" s="3">
        <v>0</v>
      </c>
      <c r="O5" t="s">
        <v>18</v>
      </c>
      <c r="P5">
        <f>SQRT(M5/M6)</f>
        <v>1325.7087550941696</v>
      </c>
    </row>
    <row r="6" spans="1:16" x14ac:dyDescent="0.2">
      <c r="A6">
        <v>74566</v>
      </c>
      <c r="B6" s="2">
        <v>3.64</v>
      </c>
      <c r="C6">
        <v>74825</v>
      </c>
      <c r="D6" s="2">
        <v>3.63</v>
      </c>
      <c r="G6">
        <v>74566</v>
      </c>
      <c r="H6">
        <v>74825</v>
      </c>
      <c r="I6">
        <f t="shared" si="0"/>
        <v>-259</v>
      </c>
      <c r="L6" s="3" t="s">
        <v>9</v>
      </c>
      <c r="M6" s="3">
        <v>25</v>
      </c>
      <c r="N6" s="3">
        <v>2</v>
      </c>
      <c r="O6" t="s">
        <v>19</v>
      </c>
      <c r="P6">
        <f>M13</f>
        <v>2.0638985616280254</v>
      </c>
    </row>
    <row r="7" spans="1:16" x14ac:dyDescent="0.2">
      <c r="A7">
        <v>87089</v>
      </c>
      <c r="B7" s="2">
        <v>3.56</v>
      </c>
      <c r="C7">
        <v>77038</v>
      </c>
      <c r="D7" s="2">
        <v>3.54</v>
      </c>
      <c r="G7">
        <v>87089</v>
      </c>
      <c r="H7">
        <v>77038</v>
      </c>
      <c r="I7">
        <f t="shared" si="0"/>
        <v>10051</v>
      </c>
      <c r="L7" s="3" t="s">
        <v>10</v>
      </c>
      <c r="M7" s="3">
        <v>0</v>
      </c>
      <c r="N7" s="3"/>
      <c r="O7" t="s">
        <v>20</v>
      </c>
      <c r="P7">
        <f>P6*P5</f>
        <v>2736.1283927765371</v>
      </c>
    </row>
    <row r="8" spans="1:16" x14ac:dyDescent="0.2">
      <c r="A8">
        <v>88664</v>
      </c>
      <c r="B8" s="2">
        <v>3.45</v>
      </c>
      <c r="C8">
        <v>78272</v>
      </c>
      <c r="D8" s="2">
        <v>3.5</v>
      </c>
      <c r="G8">
        <v>88664</v>
      </c>
      <c r="H8">
        <v>78272</v>
      </c>
      <c r="I8">
        <f t="shared" si="0"/>
        <v>10392</v>
      </c>
      <c r="L8" s="3" t="s">
        <v>11</v>
      </c>
      <c r="M8" s="3">
        <v>24</v>
      </c>
      <c r="N8" s="3"/>
      <c r="O8" t="s">
        <v>21</v>
      </c>
      <c r="P8">
        <f>P4-P7</f>
        <v>2336.6716072234631</v>
      </c>
    </row>
    <row r="9" spans="1:16" x14ac:dyDescent="0.2">
      <c r="A9">
        <v>71200</v>
      </c>
      <c r="B9" s="2">
        <v>3.4</v>
      </c>
      <c r="C9">
        <v>59462</v>
      </c>
      <c r="D9" s="2">
        <v>3.42</v>
      </c>
      <c r="G9">
        <v>71200</v>
      </c>
      <c r="H9">
        <v>59462</v>
      </c>
      <c r="I9">
        <f t="shared" si="0"/>
        <v>11738</v>
      </c>
      <c r="L9" s="3" t="s">
        <v>12</v>
      </c>
      <c r="M9" s="3">
        <v>3.8264814805719993</v>
      </c>
      <c r="N9" s="3"/>
      <c r="O9" t="s">
        <v>22</v>
      </c>
      <c r="P9">
        <f>P4+P7</f>
        <v>7808.9283927765373</v>
      </c>
    </row>
    <row r="10" spans="1:16" x14ac:dyDescent="0.2">
      <c r="A10">
        <v>69367</v>
      </c>
      <c r="B10" s="2">
        <v>3.3</v>
      </c>
      <c r="C10">
        <v>51555</v>
      </c>
      <c r="D10" s="2">
        <v>3.3</v>
      </c>
      <c r="G10">
        <v>69367</v>
      </c>
      <c r="H10">
        <v>51555</v>
      </c>
      <c r="I10">
        <f t="shared" si="0"/>
        <v>17812</v>
      </c>
      <c r="L10" s="3" t="s">
        <v>13</v>
      </c>
      <c r="M10" s="3">
        <v>4.079648068152455E-4</v>
      </c>
      <c r="N10" s="3"/>
    </row>
    <row r="11" spans="1:16" x14ac:dyDescent="0.2">
      <c r="A11">
        <v>82618</v>
      </c>
      <c r="B11" s="2">
        <v>3.26</v>
      </c>
      <c r="C11">
        <v>81591</v>
      </c>
      <c r="D11" s="2">
        <v>3.27</v>
      </c>
      <c r="G11">
        <v>82618</v>
      </c>
      <c r="H11">
        <v>81591</v>
      </c>
      <c r="I11">
        <f t="shared" si="0"/>
        <v>1027</v>
      </c>
      <c r="L11" s="3" t="s">
        <v>14</v>
      </c>
      <c r="M11" s="3">
        <v>1.7108820799094284</v>
      </c>
      <c r="N11" s="3"/>
    </row>
    <row r="12" spans="1:16" x14ac:dyDescent="0.2">
      <c r="A12">
        <v>69131</v>
      </c>
      <c r="B12" s="2">
        <v>3.17</v>
      </c>
      <c r="C12">
        <v>68110</v>
      </c>
      <c r="D12" s="2">
        <v>3.15</v>
      </c>
      <c r="G12">
        <v>69131</v>
      </c>
      <c r="H12">
        <v>68110</v>
      </c>
      <c r="I12">
        <f t="shared" si="0"/>
        <v>1021</v>
      </c>
      <c r="L12" s="3" t="s">
        <v>15</v>
      </c>
      <c r="M12" s="3">
        <v>8.15929613630491E-4</v>
      </c>
      <c r="N12" s="3"/>
      <c r="O12" t="s">
        <v>23</v>
      </c>
      <c r="P12" t="s">
        <v>25</v>
      </c>
    </row>
    <row r="13" spans="1:16" ht="16" thickBot="1" x14ac:dyDescent="0.25">
      <c r="A13">
        <v>58187</v>
      </c>
      <c r="B13" s="2">
        <v>3.08</v>
      </c>
      <c r="C13">
        <v>54970</v>
      </c>
      <c r="D13" s="2">
        <v>3.06</v>
      </c>
      <c r="G13">
        <v>58187</v>
      </c>
      <c r="H13">
        <v>54970</v>
      </c>
      <c r="I13">
        <f t="shared" si="0"/>
        <v>3217</v>
      </c>
      <c r="L13" s="4" t="s">
        <v>16</v>
      </c>
      <c r="M13" s="4">
        <v>2.0638985616280254</v>
      </c>
      <c r="N13" s="4"/>
      <c r="O13" t="s">
        <v>24</v>
      </c>
      <c r="P13" s="6" t="s">
        <v>26</v>
      </c>
    </row>
    <row r="14" spans="1:16" x14ac:dyDescent="0.2">
      <c r="A14">
        <v>64718</v>
      </c>
      <c r="B14" s="2">
        <v>2.97</v>
      </c>
      <c r="C14">
        <v>68675</v>
      </c>
      <c r="D14" s="2">
        <v>3.03</v>
      </c>
      <c r="G14">
        <v>64718</v>
      </c>
      <c r="H14">
        <v>68675</v>
      </c>
      <c r="I14">
        <f t="shared" si="0"/>
        <v>-3957</v>
      </c>
    </row>
    <row r="15" spans="1:16" x14ac:dyDescent="0.2">
      <c r="A15">
        <v>67716</v>
      </c>
      <c r="B15" s="2">
        <v>2.94</v>
      </c>
      <c r="C15">
        <v>54110</v>
      </c>
      <c r="D15" s="2">
        <v>2.93</v>
      </c>
      <c r="G15">
        <v>67716</v>
      </c>
      <c r="H15">
        <v>54110</v>
      </c>
      <c r="I15">
        <f t="shared" si="0"/>
        <v>13606</v>
      </c>
    </row>
    <row r="16" spans="1:16" x14ac:dyDescent="0.2">
      <c r="A16">
        <v>49296</v>
      </c>
      <c r="B16" s="2">
        <v>2.85</v>
      </c>
      <c r="C16">
        <v>46467</v>
      </c>
      <c r="D16" s="2">
        <v>2.8</v>
      </c>
      <c r="G16">
        <v>49296</v>
      </c>
      <c r="H16">
        <v>46467</v>
      </c>
      <c r="I16">
        <f t="shared" si="0"/>
        <v>2829</v>
      </c>
    </row>
    <row r="17" spans="1:9" x14ac:dyDescent="0.2">
      <c r="A17">
        <v>56625</v>
      </c>
      <c r="B17" s="2">
        <v>2.78</v>
      </c>
      <c r="C17">
        <v>53559</v>
      </c>
      <c r="D17" s="2">
        <v>2.74</v>
      </c>
      <c r="G17">
        <v>56625</v>
      </c>
      <c r="H17">
        <v>53559</v>
      </c>
      <c r="I17">
        <f t="shared" si="0"/>
        <v>3066</v>
      </c>
    </row>
    <row r="18" spans="1:9" x14ac:dyDescent="0.2">
      <c r="A18">
        <v>63728</v>
      </c>
      <c r="B18" s="2">
        <v>2.64</v>
      </c>
      <c r="C18">
        <v>46793</v>
      </c>
      <c r="D18" s="2">
        <v>2.66</v>
      </c>
      <c r="G18">
        <v>63728</v>
      </c>
      <c r="H18">
        <v>46793</v>
      </c>
      <c r="I18">
        <f t="shared" si="0"/>
        <v>16935</v>
      </c>
    </row>
    <row r="19" spans="1:9" x14ac:dyDescent="0.2">
      <c r="A19">
        <v>55425</v>
      </c>
      <c r="B19" s="2">
        <v>2.62</v>
      </c>
      <c r="C19">
        <v>39984</v>
      </c>
      <c r="D19" s="2">
        <v>2.62</v>
      </c>
      <c r="G19">
        <v>55425</v>
      </c>
      <c r="H19">
        <v>39984</v>
      </c>
      <c r="I19">
        <f t="shared" si="0"/>
        <v>15441</v>
      </c>
    </row>
    <row r="20" spans="1:9" x14ac:dyDescent="0.2">
      <c r="A20">
        <v>37898</v>
      </c>
      <c r="B20" s="2">
        <v>2.5299999999999998</v>
      </c>
      <c r="C20">
        <v>30137</v>
      </c>
      <c r="D20" s="2">
        <v>2.4900000000000002</v>
      </c>
      <c r="G20">
        <v>37898</v>
      </c>
      <c r="H20">
        <v>30137</v>
      </c>
      <c r="I20">
        <f t="shared" si="0"/>
        <v>7761</v>
      </c>
    </row>
    <row r="21" spans="1:9" x14ac:dyDescent="0.2">
      <c r="A21">
        <v>56244</v>
      </c>
      <c r="B21" s="2">
        <v>2.4</v>
      </c>
      <c r="C21">
        <v>61695</v>
      </c>
      <c r="D21" s="2">
        <v>2.4700000000000002</v>
      </c>
      <c r="G21">
        <v>56244</v>
      </c>
      <c r="H21">
        <v>61695</v>
      </c>
      <c r="I21">
        <f t="shared" si="0"/>
        <v>-5451</v>
      </c>
    </row>
    <row r="22" spans="1:9" x14ac:dyDescent="0.2">
      <c r="A22">
        <v>51071</v>
      </c>
      <c r="B22" s="2">
        <v>2.39</v>
      </c>
      <c r="C22">
        <v>47438</v>
      </c>
      <c r="D22" s="2">
        <v>2.35</v>
      </c>
      <c r="G22">
        <v>51071</v>
      </c>
      <c r="H22">
        <v>47438</v>
      </c>
      <c r="I22">
        <f t="shared" si="0"/>
        <v>3633</v>
      </c>
    </row>
    <row r="23" spans="1:9" x14ac:dyDescent="0.2">
      <c r="A23">
        <v>31235</v>
      </c>
      <c r="B23" s="2">
        <v>2.31</v>
      </c>
      <c r="C23">
        <v>29662</v>
      </c>
      <c r="D23" s="2">
        <v>2.2999999999999998</v>
      </c>
      <c r="G23">
        <v>31235</v>
      </c>
      <c r="H23">
        <v>29662</v>
      </c>
      <c r="I23">
        <f t="shared" si="0"/>
        <v>1573</v>
      </c>
    </row>
    <row r="24" spans="1:9" x14ac:dyDescent="0.2">
      <c r="A24">
        <v>32477</v>
      </c>
      <c r="B24" s="2">
        <v>2.17</v>
      </c>
      <c r="C24">
        <v>33710</v>
      </c>
      <c r="D24" s="2">
        <v>2.2200000000000002</v>
      </c>
      <c r="G24">
        <v>32477</v>
      </c>
      <c r="H24">
        <v>33710</v>
      </c>
      <c r="I24">
        <f t="shared" si="0"/>
        <v>-1233</v>
      </c>
    </row>
    <row r="25" spans="1:9" x14ac:dyDescent="0.2">
      <c r="A25">
        <v>35274</v>
      </c>
      <c r="B25" s="2">
        <v>2.13</v>
      </c>
      <c r="C25">
        <v>31989</v>
      </c>
      <c r="D25" s="2">
        <v>2.14</v>
      </c>
      <c r="G25">
        <v>35274</v>
      </c>
      <c r="H25">
        <v>31989</v>
      </c>
      <c r="I25">
        <f t="shared" si="0"/>
        <v>3285</v>
      </c>
    </row>
    <row r="26" spans="1:9" x14ac:dyDescent="0.2">
      <c r="A26">
        <v>45835</v>
      </c>
      <c r="B26" s="2">
        <v>2.04</v>
      </c>
      <c r="C26">
        <v>38788</v>
      </c>
      <c r="D26" s="2">
        <v>2.0699999999999998</v>
      </c>
      <c r="G26">
        <v>45835</v>
      </c>
      <c r="H26">
        <v>38788</v>
      </c>
      <c r="I26">
        <f t="shared" si="0"/>
        <v>7047</v>
      </c>
    </row>
  </sheetData>
  <sortState xmlns:xlrd2="http://schemas.microsoft.com/office/spreadsheetml/2017/richdata2" ref="C2:D26">
    <sortCondition descending="1" ref="D2:D26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Pairs Analysis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2023-06-21T20:45:17Z</dcterms:created>
  <dcterms:modified xsi:type="dcterms:W3CDTF">2025-08-27T00:23:18Z</dcterms:modified>
</cp:coreProperties>
</file>