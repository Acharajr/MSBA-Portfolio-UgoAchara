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upacha01_louisville_edu1/Documents/Grad School/UofL Grad/MSBA 620/Week one/"/>
    </mc:Choice>
  </mc:AlternateContent>
  <xr:revisionPtr revIDLastSave="6" documentId="8_{E7924FE1-2018-4015-B252-AD0CA4192B48}" xr6:coauthVersionLast="47" xr6:coauthVersionMax="47" xr10:uidLastSave="{56C10291-4258-2C4A-BF10-370B016AF8DF}"/>
  <bookViews>
    <workbookView xWindow="0" yWindow="500" windowWidth="23260" windowHeight="12460" xr2:uid="{DEB0CD81-66BD-441A-BF4D-150480AAAA8F}"/>
  </bookViews>
  <sheets>
    <sheet name="Independent samples" sheetId="1" r:id="rId1"/>
  </sheets>
  <externalReferences>
    <externalReference r:id="rId2"/>
  </externalReferences>
  <definedNames>
    <definedName name="nd">'[1]Matched Pairs Analysis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I20" i="1"/>
  <c r="I19" i="1"/>
  <c r="I17" i="1"/>
  <c r="I21" i="1" l="1"/>
  <c r="I22" i="1"/>
</calcChain>
</file>

<file path=xl/sharedStrings.xml><?xml version="1.0" encoding="utf-8"?>
<sst xmlns="http://schemas.openxmlformats.org/spreadsheetml/2006/main" count="35" uniqueCount="27">
  <si>
    <t>Finance</t>
  </si>
  <si>
    <t>Marketing</t>
  </si>
  <si>
    <t>F-Test Two-Sample for Variances</t>
  </si>
  <si>
    <t>Mean</t>
  </si>
  <si>
    <t>Variance</t>
  </si>
  <si>
    <t>Observations</t>
  </si>
  <si>
    <t>df</t>
  </si>
  <si>
    <t>F</t>
  </si>
  <si>
    <t>P(F&lt;=f) one-tail</t>
  </si>
  <si>
    <t>F Critical one-tail</t>
  </si>
  <si>
    <t>compare with 0.025</t>
  </si>
  <si>
    <t>t-Test: Two-Sample Assuming Equal Variances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</si>
  <si>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</si>
  <si>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</si>
  <si>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</si>
  <si>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</si>
  <si>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</si>
  <si>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</si>
  <si>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</si>
  <si>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mean diff</t>
  </si>
  <si>
    <t>Std Err</t>
  </si>
  <si>
    <t>MarErr</t>
  </si>
  <si>
    <t>LCL</t>
  </si>
  <si>
    <t>UCL</t>
  </si>
  <si>
    <t>tCrit</t>
  </si>
  <si>
    <t>est of mean diff  5000+/- 12100</t>
  </si>
  <si>
    <t>confidence interval (-7100, 17200)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</si>
</sst>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rjchas01/Box/UofL_CoB/MBA651/data/excel_files/mba_offers.xlsx" TargetMode="External"/><Relationship Id="rId1" Type="http://schemas.openxmlformats.org/officeDocument/2006/relationships/externalLinkPath" Target="/Users/rjchas01/Box/UofL_CoB/MBA651/data/excel_files/mba_off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pendent samples"/>
      <sheetName val="Matched Pairs Analysis"/>
      <sheetName val="Matched Pairs Analysis (2)"/>
      <sheetName val="ANOVA"/>
      <sheetName val="Repeated samples"/>
    </sheetNames>
    <sheetDataSet>
      <sheetData sheetId="0"/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ACE6-9DDE-491C-9FD9-9C536DBE46B7}">
  <dimension ref="A1:I27"/>
  <sheetViews>
    <sheetView tabSelected="1" topLeftCell="A9" workbookViewId="0">
      <selection activeCell="I18" sqref="I18"/>
    </sheetView>
  </sheetViews>
  <sheetFormatPr baseColWidth="10" defaultColWidth="8.83203125" defaultRowHeight="15" x14ac:dyDescent="0.2"/>
  <cols>
    <col min="5" max="5" width="28.1640625" bestFit="1" customWidth="1"/>
    <col min="6" max="7" width="12" bestFit="1" customWidth="1"/>
    <col min="8" max="8" width="27.83203125" bestFit="1" customWidth="1"/>
  </cols>
  <sheetData>
    <row r="1" spans="1:8" x14ac:dyDescent="0.2">
      <c r="A1" s="1" t="s">
        <v>0</v>
      </c>
      <c r="B1" s="1" t="s">
        <v>1</v>
      </c>
      <c r="E1" t="s">
        <v>2</v>
      </c>
    </row>
    <row r="2" spans="1:8" ht="16" thickBot="1" x14ac:dyDescent="0.25">
      <c r="A2">
        <v>95171</v>
      </c>
      <c r="B2">
        <v>89392</v>
      </c>
    </row>
    <row r="3" spans="1:8" x14ac:dyDescent="0.2">
      <c r="A3">
        <v>88009</v>
      </c>
      <c r="B3">
        <v>92705</v>
      </c>
      <c r="E3" s="3"/>
      <c r="F3" s="3" t="s">
        <v>0</v>
      </c>
      <c r="G3" s="3" t="s">
        <v>1</v>
      </c>
    </row>
    <row r="4" spans="1:8" x14ac:dyDescent="0.2">
      <c r="A4">
        <v>98089</v>
      </c>
      <c r="B4">
        <v>99205</v>
      </c>
      <c r="E4" t="s">
        <v>3</v>
      </c>
      <c r="F4">
        <v>65438.2</v>
      </c>
      <c r="G4">
        <v>60365.4</v>
      </c>
    </row>
    <row r="5" spans="1:8" x14ac:dyDescent="0.2">
      <c r="A5">
        <v>106322</v>
      </c>
      <c r="B5">
        <v>99003</v>
      </c>
      <c r="E5" t="s">
        <v>4</v>
      </c>
      <c r="F5">
        <v>444981809.5</v>
      </c>
      <c r="G5">
        <v>469561126.83333331</v>
      </c>
    </row>
    <row r="6" spans="1:8" x14ac:dyDescent="0.2">
      <c r="A6">
        <v>74566</v>
      </c>
      <c r="B6">
        <v>74825</v>
      </c>
      <c r="E6" t="s">
        <v>5</v>
      </c>
      <c r="F6">
        <v>25</v>
      </c>
      <c r="G6">
        <v>25</v>
      </c>
    </row>
    <row r="7" spans="1:8" x14ac:dyDescent="0.2">
      <c r="A7">
        <v>87089</v>
      </c>
      <c r="B7">
        <v>77038</v>
      </c>
      <c r="E7" t="s">
        <v>6</v>
      </c>
      <c r="F7">
        <v>24</v>
      </c>
      <c r="G7">
        <v>24</v>
      </c>
    </row>
    <row r="8" spans="1:8" x14ac:dyDescent="0.2">
      <c r="A8">
        <v>88664</v>
      </c>
      <c r="B8">
        <v>78272</v>
      </c>
      <c r="E8" t="s">
        <v>7</v>
      </c>
      <c r="F8">
        <v>0.94765470153142062</v>
      </c>
    </row>
    <row r="9" spans="1:8" x14ac:dyDescent="0.2">
      <c r="A9">
        <v>71200</v>
      </c>
      <c r="B9">
        <v>59462</v>
      </c>
      <c r="E9" t="s">
        <v>8</v>
      </c>
      <c r="F9">
        <v>0.44815468210029219</v>
      </c>
      <c r="H9" t="s">
        <v>10</v>
      </c>
    </row>
    <row r="10" spans="1:8" ht="16" thickBot="1" x14ac:dyDescent="0.25">
      <c r="A10">
        <v>69367</v>
      </c>
      <c r="B10">
        <v>51555</v>
      </c>
      <c r="E10" s="2" t="s">
        <v>9</v>
      </c>
      <c r="F10" s="2">
        <v>0.50409334673625616</v>
      </c>
      <c r="G10" s="2"/>
    </row>
    <row r="11" spans="1:8" x14ac:dyDescent="0.2">
      <c r="A11">
        <v>82618</v>
      </c>
      <c r="B11">
        <v>81591</v>
      </c>
    </row>
    <row r="12" spans="1:8" x14ac:dyDescent="0.2">
      <c r="A12">
        <v>69131</v>
      </c>
      <c r="B12">
        <v>68110</v>
      </c>
    </row>
    <row r="13" spans="1:8" x14ac:dyDescent="0.2">
      <c r="A13">
        <v>58187</v>
      </c>
      <c r="B13">
        <v>54970</v>
      </c>
    </row>
    <row r="14" spans="1:8" x14ac:dyDescent="0.2">
      <c r="A14">
        <v>64718</v>
      </c>
      <c r="B14">
        <v>68675</v>
      </c>
      <c r="E14" t="s">
        <v>11</v>
      </c>
    </row>
    <row r="15" spans="1:8" ht="16" thickBot="1" x14ac:dyDescent="0.25">
      <c r="A15">
        <v>67716</v>
      </c>
      <c r="B15">
        <v>54110</v>
      </c>
    </row>
    <row r="16" spans="1:8" x14ac:dyDescent="0.2">
      <c r="A16">
        <v>49296</v>
      </c>
      <c r="B16">
        <v>46467</v>
      </c>
      <c r="E16" s="3"/>
      <c r="F16" s="3" t="s">
        <v>0</v>
      </c>
      <c r="G16" s="3" t="s">
        <v>1</v>
      </c>
    </row>
    <row r="17" spans="1:9" x14ac:dyDescent="0.2">
      <c r="A17">
        <v>56625</v>
      </c>
      <c r="B17">
        <v>53559</v>
      </c>
      <c r="E17" t="s">
        <v>3</v>
      </c>
      <c r="F17">
        <v>65438.2</v>
      </c>
      <c r="G17">
        <v>60365.4</v>
      </c>
      <c r="H17" t="s">
        <v>19</v>
      </c>
      <c r="I17">
        <f>F17-G17</f>
        <v>5072.7999999999956</v>
      </c>
    </row>
    <row r="18" spans="1:9" x14ac:dyDescent="0.2">
      <c r="A18">
        <v>63728</v>
      </c>
      <c r="B18">
        <v>46793</v>
      </c>
      <c r="E18" t="s">
        <v>4</v>
      </c>
      <c r="F18">
        <v>444981809.5</v>
      </c>
      <c r="G18">
        <v>469561126.83333331</v>
      </c>
      <c r="H18" t="s">
        <v>20</v>
      </c>
      <c r="I18">
        <f>SQRT(F20*(1/F19+1/G19))</f>
        <v>6048.2821902862079</v>
      </c>
    </row>
    <row r="19" spans="1:9" x14ac:dyDescent="0.2">
      <c r="A19">
        <v>55425</v>
      </c>
      <c r="B19">
        <v>39984</v>
      </c>
      <c r="E19" t="s">
        <v>5</v>
      </c>
      <c r="F19">
        <v>25</v>
      </c>
      <c r="G19">
        <v>25</v>
      </c>
      <c r="H19" t="s">
        <v>24</v>
      </c>
      <c r="I19">
        <f>F27</f>
        <v>2.0106347576242314</v>
      </c>
    </row>
    <row r="20" spans="1:9" x14ac:dyDescent="0.2">
      <c r="A20">
        <v>37898</v>
      </c>
      <c r="B20">
        <v>30137</v>
      </c>
      <c r="E20" t="s">
        <v>12</v>
      </c>
      <c r="F20">
        <v>457271468.16666669</v>
      </c>
      <c r="H20" t="s">
        <v>21</v>
      </c>
      <c r="I20">
        <f>I19*I18</f>
        <v>12160.886395709065</v>
      </c>
    </row>
    <row r="21" spans="1:9" x14ac:dyDescent="0.2">
      <c r="A21">
        <v>56244</v>
      </c>
      <c r="B21">
        <v>61695</v>
      </c>
      <c r="E21" t="s">
        <v>13</v>
      </c>
      <c r="F21">
        <v>0</v>
      </c>
      <c r="H21" t="s">
        <v>22</v>
      </c>
      <c r="I21">
        <f>I17-I20</f>
        <v>-7088.0863957090696</v>
      </c>
    </row>
    <row r="22" spans="1:9" x14ac:dyDescent="0.2">
      <c r="A22">
        <v>51071</v>
      </c>
      <c r="B22">
        <v>47438</v>
      </c>
      <c r="E22" t="s">
        <v>6</v>
      </c>
      <c r="F22">
        <v>48</v>
      </c>
      <c r="H22" t="s">
        <v>23</v>
      </c>
      <c r="I22">
        <f>I20+I17</f>
        <v>17233.686395709061</v>
      </c>
    </row>
    <row r="23" spans="1:9" x14ac:dyDescent="0.2">
      <c r="A23">
        <v>31235</v>
      </c>
      <c r="B23">
        <v>29662</v>
      </c>
      <c r="E23" t="s">
        <v>14</v>
      </c>
      <c r="F23">
        <v>0.83871748050167416</v>
      </c>
    </row>
    <row r="24" spans="1:9" x14ac:dyDescent="0.2">
      <c r="A24">
        <v>32477</v>
      </c>
      <c r="B24">
        <v>33710</v>
      </c>
      <c r="E24" t="s">
        <v>15</v>
      </c>
      <c r="F24">
        <v>0.20289269978909225</v>
      </c>
    </row>
    <row r="25" spans="1:9" x14ac:dyDescent="0.2">
      <c r="A25">
        <v>35274</v>
      </c>
      <c r="B25">
        <v>31989</v>
      </c>
      <c r="E25" t="s">
        <v>16</v>
      </c>
      <c r="F25">
        <v>1.6772241961243386</v>
      </c>
      <c r="H25" t="s">
        <v>25</v>
      </c>
    </row>
    <row r="26" spans="1:9" x14ac:dyDescent="0.2">
      <c r="A26">
        <v>45835</v>
      </c>
      <c r="B26">
        <v>38788</v>
      </c>
      <c r="E26" t="s">
        <v>17</v>
      </c>
      <c r="F26">
        <v>0.40578539957818449</v>
      </c>
      <c r="H26" t="s">
        <v>26</v>
      </c>
    </row>
    <row r="27" spans="1:9" ht="16" thickBot="1" x14ac:dyDescent="0.25">
      <c r="E27" s="2" t="s">
        <v>18</v>
      </c>
      <c r="F27" s="2">
        <v>2.0106347576242314</v>
      </c>
      <c r="G2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Independent 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Chastain, Raymond</dc:creator>
  <cp:lastModifiedBy>Achara, Achara</cp:lastModifiedBy>
  <dcterms:created xsi:type="dcterms:W3CDTF">2023-06-21T20:44:00Z</dcterms:created>
  <dcterms:modified xsi:type="dcterms:W3CDTF">2025-08-27T16:53:20Z</dcterms:modified>
</cp:coreProperties>
</file>