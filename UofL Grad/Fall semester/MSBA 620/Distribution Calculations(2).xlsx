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19200" windowHeight="126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B19" i="1"/>
  <c r="D7" i="1" l="1"/>
  <c r="C7" i="1"/>
  <c r="A7" i="1"/>
  <c r="C15" i="1"/>
  <c r="F2" i="1"/>
  <c r="E7" i="1" l="1"/>
  <c r="G7" i="1" s="1"/>
  <c r="F7" i="1" l="1"/>
  <c r="C11" i="1"/>
  <c r="A19" i="1" s="1"/>
  <c r="D19" i="1" s="1"/>
  <c r="E3" i="1"/>
  <c r="F3" i="1" s="1"/>
  <c r="G3" i="1" s="1"/>
  <c r="G2" i="1"/>
  <c r="H2" i="1" l="1"/>
  <c r="H3" i="1"/>
</calcChain>
</file>

<file path=xl/sharedStrings.xml><?xml version="1.0" encoding="utf-8"?>
<sst xmlns="http://schemas.openxmlformats.org/spreadsheetml/2006/main" count="28" uniqueCount="21">
  <si>
    <t>standard error</t>
  </si>
  <si>
    <t>Prob</t>
  </si>
  <si>
    <t>1-prob</t>
  </si>
  <si>
    <t>Normal Dist</t>
  </si>
  <si>
    <t>Sampling Dist</t>
  </si>
  <si>
    <t>X</t>
  </si>
  <si>
    <t>Mean</t>
  </si>
  <si>
    <t>Standadrd Dev</t>
  </si>
  <si>
    <t>Sample Size</t>
  </si>
  <si>
    <t>Standardize</t>
  </si>
  <si>
    <t>Probability</t>
  </si>
  <si>
    <t>Z-value</t>
  </si>
  <si>
    <t>Alpha</t>
  </si>
  <si>
    <t>Std Dev</t>
  </si>
  <si>
    <t>UCL</t>
  </si>
  <si>
    <t>LCL</t>
  </si>
  <si>
    <t>Confidence Intervals</t>
  </si>
  <si>
    <t>Calculating Z value from Probability</t>
  </si>
  <si>
    <t>Calculating Probability from Z value</t>
  </si>
  <si>
    <t>Calculating X fom Z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</si>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</sst>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E23" sqref="E23"/>
    </sheetView>
  </sheetViews>
  <sheetFormatPr defaultRowHeight="14.25" x14ac:dyDescent="0.45"/>
  <cols>
    <col min="3" max="3" width="12.265625" bestFit="1" customWidth="1"/>
    <col min="4" max="4" width="9.9296875" bestFit="1" customWidth="1"/>
    <col min="5" max="5" width="12.06640625" bestFit="1" customWidth="1"/>
    <col min="6" max="6" width="9.796875" bestFit="1" customWidth="1"/>
  </cols>
  <sheetData>
    <row r="1" spans="1:9" x14ac:dyDescent="0.4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</v>
      </c>
      <c r="H1" t="s">
        <v>2</v>
      </c>
    </row>
    <row r="2" spans="1:9" x14ac:dyDescent="0.45">
      <c r="A2">
        <v>12</v>
      </c>
      <c r="B2">
        <v>12</v>
      </c>
      <c r="C2">
        <v>0.3</v>
      </c>
      <c r="D2">
        <v>6</v>
      </c>
      <c r="F2">
        <f>STANDARDIZE(A2,B2,C2)</f>
        <v>0</v>
      </c>
      <c r="G2">
        <f>_xlfn.NORM.S.DIST(F2,TRUE)</f>
        <v>0.5</v>
      </c>
      <c r="H2">
        <f>1-G2</f>
        <v>0.5</v>
      </c>
      <c r="I2" t="s">
        <v>3</v>
      </c>
    </row>
    <row r="3" spans="1:9" x14ac:dyDescent="0.45">
      <c r="E3">
        <f>C2/SQRT(D2)</f>
        <v>0.12247448713915891</v>
      </c>
      <c r="F3">
        <f>STANDARDIZE(A2,B2,E3)</f>
        <v>0</v>
      </c>
      <c r="G3">
        <f>_xlfn.NORM.S.DIST(F3,TRUE)</f>
        <v>0.5</v>
      </c>
      <c r="H3">
        <f>1-G3</f>
        <v>0.5</v>
      </c>
      <c r="I3" t="s">
        <v>4</v>
      </c>
    </row>
    <row r="5" spans="1:9" x14ac:dyDescent="0.45">
      <c r="A5" s="1" t="s">
        <v>16</v>
      </c>
      <c r="B5" s="1"/>
      <c r="C5" s="1"/>
      <c r="D5" s="1"/>
      <c r="E5" s="1"/>
      <c r="F5" s="1"/>
      <c r="G5" s="1"/>
      <c r="H5" s="1"/>
      <c r="I5" s="1"/>
    </row>
    <row r="6" spans="1:9" x14ac:dyDescent="0.45">
      <c r="A6" t="s">
        <v>6</v>
      </c>
      <c r="B6" t="s">
        <v>12</v>
      </c>
      <c r="C6" t="s">
        <v>13</v>
      </c>
      <c r="D6" t="s">
        <v>8</v>
      </c>
      <c r="F6" t="s">
        <v>14</v>
      </c>
      <c r="G6" t="s">
        <v>15</v>
      </c>
    </row>
    <row r="7" spans="1:9" x14ac:dyDescent="0.45">
      <c r="A7">
        <f>B2</f>
        <v>12</v>
      </c>
      <c r="B7">
        <v>0.05</v>
      </c>
      <c r="C7">
        <f>C2</f>
        <v>0.3</v>
      </c>
      <c r="D7">
        <f>D2</f>
        <v>6</v>
      </c>
      <c r="E7">
        <f>CONFIDENCE(B7, C7, D7)</f>
        <v>0.24004558381776545</v>
      </c>
      <c r="F7">
        <f>A7+E7</f>
        <v>12.240045583817766</v>
      </c>
      <c r="G7">
        <f>A7-E7</f>
        <v>11.759954416182234</v>
      </c>
    </row>
    <row r="9" spans="1:9" x14ac:dyDescent="0.45">
      <c r="A9" s="1" t="s">
        <v>17</v>
      </c>
      <c r="B9" s="1"/>
      <c r="C9" s="1"/>
      <c r="D9" s="1"/>
      <c r="E9" s="1"/>
      <c r="F9" s="1"/>
      <c r="G9" s="1"/>
      <c r="H9" s="1"/>
    </row>
    <row r="10" spans="1:9" x14ac:dyDescent="0.45">
      <c r="B10" t="s">
        <v>10</v>
      </c>
      <c r="C10" t="s">
        <v>11</v>
      </c>
    </row>
    <row r="11" spans="1:9" x14ac:dyDescent="0.45">
      <c r="B11">
        <v>0.05</v>
      </c>
      <c r="C11">
        <f>NORMSINV(B11)</f>
        <v>-1.6448536269514726</v>
      </c>
    </row>
    <row r="13" spans="1:9" x14ac:dyDescent="0.45">
      <c r="A13" s="1" t="s">
        <v>18</v>
      </c>
      <c r="B13" s="1"/>
      <c r="C13" s="1"/>
      <c r="D13" s="1"/>
      <c r="E13" s="1"/>
      <c r="F13" s="1"/>
      <c r="G13" s="1"/>
      <c r="H13" s="1"/>
    </row>
    <row r="14" spans="1:9" x14ac:dyDescent="0.45">
      <c r="B14" t="s">
        <v>11</v>
      </c>
      <c r="C14" t="s">
        <v>10</v>
      </c>
    </row>
    <row r="15" spans="1:9" x14ac:dyDescent="0.45">
      <c r="B15">
        <v>4</v>
      </c>
      <c r="C15">
        <f>_xlfn.NORM.S.DIST(B15,TRUE)</f>
        <v>0.99996832875816688</v>
      </c>
    </row>
    <row r="17" spans="1:7" x14ac:dyDescent="0.45">
      <c r="A17" s="1" t="s">
        <v>19</v>
      </c>
      <c r="B17" s="1"/>
      <c r="C17" s="1"/>
      <c r="D17" s="1"/>
      <c r="E17" s="1"/>
      <c r="F17" s="1"/>
      <c r="G17" s="1"/>
    </row>
    <row r="18" spans="1:7" x14ac:dyDescent="0.45">
      <c r="A18" t="s">
        <v>20</v>
      </c>
      <c r="B18" t="s">
        <v>6</v>
      </c>
      <c r="C18" t="s">
        <v>7</v>
      </c>
      <c r="D18" t="s">
        <v>5</v>
      </c>
    </row>
    <row r="19" spans="1:7" x14ac:dyDescent="0.45">
      <c r="A19">
        <f>C11</f>
        <v>-1.6448536269514726</v>
      </c>
      <c r="B19">
        <f>B2</f>
        <v>12</v>
      </c>
      <c r="C19">
        <f>C2</f>
        <v>0.3</v>
      </c>
      <c r="D19">
        <f>(A19*C19)+B19</f>
        <v>11.506543911914559</v>
      </c>
    </row>
  </sheetData>
  <mergeCells count="4">
    <mergeCell ref="A5:I5"/>
    <mergeCell ref="A9:H9"/>
    <mergeCell ref="A13:H13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2017-06-12T21:23:50Z</dcterms:created>
  <dcterms:modified xsi:type="dcterms:W3CDTF">2018-01-10T12:12:09Z</dcterms:modified>
</cp:coreProperties>
</file>