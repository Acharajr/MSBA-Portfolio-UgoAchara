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"/>
    </mc:Choice>
  </mc:AlternateContent>
  <xr:revisionPtr revIDLastSave="20" documentId="8_{16FA6EC5-743D-994E-B513-000F75991E1B}" xr6:coauthVersionLast="47" xr6:coauthVersionMax="47" xr10:uidLastSave="{0AB0D01D-C426-534D-927C-03A336894541}"/>
  <bookViews>
    <workbookView xWindow="0" yWindow="500" windowWidth="28800" windowHeight="15640" xr2:uid="{2A67441E-3F44-254B-A9C0-A96DBBB5EE71}"/>
  </bookViews>
  <sheets>
    <sheet name="One sample test" sheetId="1" r:id="rId1"/>
    <sheet name="Two sample 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G5" i="1"/>
  <c r="L4" i="2"/>
  <c r="H4" i="1"/>
  <c r="K5" i="2" l="1"/>
  <c r="G4" i="1" l="1"/>
</calcChain>
</file>

<file path=xl/sharedStrings.xml><?xml version="1.0" encoding="utf-8"?>
<sst xmlns="http://schemas.openxmlformats.org/spreadsheetml/2006/main" count="18" uniqueCount="14">
  <si>
    <t>Confidence Interval:</t>
  </si>
  <si>
    <t>Confidence Level:</t>
  </si>
  <si>
    <t>Number of Successes:</t>
  </si>
  <si>
    <t>Sample Size:</t>
  </si>
  <si>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-value:</t>
    </r>
  </si>
  <si>
    <t>Null Hypothesis Value:</t>
  </si>
  <si>
    <t>Enter the following values:</t>
  </si>
  <si>
    <t>Number of Successes in Sample 1:</t>
  </si>
  <si>
    <t>Sample Size of Sample 1:</t>
  </si>
  <si>
    <t>Number of Successes in Sample 2:</t>
  </si>
  <si>
    <t>Sample Size of Sample 2:</t>
  </si>
  <si>
    <t>Null Hypothesis Value for Difference of Proportions:</t>
  </si>
  <si>
    <t>Confidence Interval for Difference of Proportions:</t>
  </si>
  <si>
    <t>One or Two Sided Test: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</si>
</sst>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D9D4-67BF-FE44-8D2A-ABA06C59EBAA}">
  <dimension ref="A1:H6"/>
  <sheetViews>
    <sheetView tabSelected="1" zoomScale="170" zoomScaleNormal="170" workbookViewId="0">
      <selection activeCell="C6" sqref="C6"/>
    </sheetView>
  </sheetViews>
  <sheetFormatPr baseColWidth="10" defaultColWidth="11" defaultRowHeight="16" x14ac:dyDescent="0.2"/>
  <sheetData>
    <row r="1" spans="1:8" x14ac:dyDescent="0.2">
      <c r="A1" t="s">
        <v>6</v>
      </c>
    </row>
    <row r="2" spans="1:8" x14ac:dyDescent="0.2">
      <c r="B2" s="1" t="s">
        <v>2</v>
      </c>
      <c r="C2">
        <v>146</v>
      </c>
    </row>
    <row r="3" spans="1:8" x14ac:dyDescent="0.2">
      <c r="B3" s="1" t="s">
        <v>3</v>
      </c>
      <c r="C3">
        <v>500</v>
      </c>
    </row>
    <row r="4" spans="1:8" x14ac:dyDescent="0.2">
      <c r="B4" s="1" t="s">
        <v>1</v>
      </c>
      <c r="C4">
        <v>95</v>
      </c>
      <c r="F4" s="1" t="s">
        <v>0</v>
      </c>
      <c r="G4" s="2">
        <f>ROUND(C2/C3,3)</f>
        <v>0.29199999999999998</v>
      </c>
      <c r="H4" t="str">
        <f>"±"&amp;ROUND(SQRT((C2/C3)*(1-C2/C3)/C3)*_xlfn.NORM.S.INV(C4/(C6*100)+(C6-1)*0.5),3)</f>
        <v>±0.04</v>
      </c>
    </row>
    <row r="5" spans="1:8" x14ac:dyDescent="0.2">
      <c r="B5" s="1" t="s">
        <v>5</v>
      </c>
      <c r="F5" s="1" t="s">
        <v>4</v>
      </c>
      <c r="G5" t="e">
        <f>IF((C2/C3-C5)&gt;0,C6*(1-_xlfn.NORM.S.DIST((C2/C3-C5)/SQRT(C5*(1-C5)/C3),TRUE)),C6*(_xlfn.NORM.S.DIST((C2/C3-C5)/SQRT(C5*(1-C5)/C3),TRUE)))</f>
        <v>#DIV/0!</v>
      </c>
    </row>
    <row r="6" spans="1:8" x14ac:dyDescent="0.2">
      <c r="B6" s="1" t="s">
        <v>13</v>
      </c>
      <c r="C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618E-2CA2-CF43-B560-B3A6B233DB79}">
  <dimension ref="A1:L8"/>
  <sheetViews>
    <sheetView zoomScale="120" zoomScaleNormal="120" workbookViewId="0">
      <selection activeCell="L12" sqref="L12"/>
    </sheetView>
  </sheetViews>
  <sheetFormatPr baseColWidth="10" defaultColWidth="11" defaultRowHeight="16" x14ac:dyDescent="0.2"/>
  <sheetData>
    <row r="1" spans="1:12" x14ac:dyDescent="0.2">
      <c r="A1" t="s">
        <v>6</v>
      </c>
    </row>
    <row r="2" spans="1:12" x14ac:dyDescent="0.2">
      <c r="D2" s="1" t="s">
        <v>7</v>
      </c>
      <c r="E2">
        <v>167</v>
      </c>
    </row>
    <row r="3" spans="1:12" x14ac:dyDescent="0.2">
      <c r="D3" s="1" t="s">
        <v>8</v>
      </c>
      <c r="E3">
        <v>192</v>
      </c>
    </row>
    <row r="4" spans="1:12" x14ac:dyDescent="0.2">
      <c r="D4" s="1" t="s">
        <v>9</v>
      </c>
      <c r="E4">
        <v>326</v>
      </c>
      <c r="J4" s="1" t="s">
        <v>12</v>
      </c>
      <c r="K4" s="2">
        <f>ROUND(E2/E3-E4/E5,3)</f>
        <v>9.9000000000000005E-2</v>
      </c>
      <c r="L4" t="str">
        <f>IF(E7=0,"±"&amp;ROUND(SQRT(((E2+E4)/(E3+E5))*(1-(E2+E4)/(E3+E5))*(1/E3+1/E5))*_xlfn.NORM.S.INV(E6/(E8*100)+(E8-1)*0.5),3),"±"&amp;ROUND(SQRT((E2/E3)*(1-E2/E3)/E3+(E4/E5)*(1-E4/E5)/E5)*_xlfn.NORM.S.INV(E6/(E8*100)+(E8-1)*0.5),3))</f>
        <v>±0.068</v>
      </c>
    </row>
    <row r="5" spans="1:12" x14ac:dyDescent="0.2">
      <c r="D5" s="1" t="s">
        <v>10</v>
      </c>
      <c r="E5">
        <v>423</v>
      </c>
      <c r="J5" s="1" t="s">
        <v>4</v>
      </c>
      <c r="K5">
        <f>IF(E7=0,IF((E2/E3-E4/E5)&gt;0,E8*(1-_xlfn.NORM.S.DIST((E2/E3-E4/E5-E7)/SQRT((E2+E4)/(E3+E5)*(1-((E2+E4)/(E3+E5)))*(1/E3+1/E5)),TRUE)),E8*(_xlfn.NORM.S.DIST((E2/E3-E4/E5-E7)/SQRT((E2+E4)/(E3+E5)*(1-((E2+E4)/(E3+E5)))*(1/E3+1/E5)),TRUE))),IF((E2/E3-E4/E5)&gt;0,E8*(1-_xlfn.NORM.S.DIST((E2/E3-E4/E5-E7)/SQRT((E2/E3)*(1-E2/E3)/E3+(E4/E5)*(1-E4/E5)/E5),TRUE)),E8*(_xlfn.NORM.S.DIST((E2/E3-E4/E5-E7)/SQRT((E2/E3)*(1-E2/E3)/E3+(E4/E5)*(1-E4/E5)/E5),TRUE))))</f>
        <v>4.2904082248980124E-3</v>
      </c>
    </row>
    <row r="6" spans="1:12" x14ac:dyDescent="0.2">
      <c r="D6" s="1" t="s">
        <v>1</v>
      </c>
      <c r="E6">
        <v>95</v>
      </c>
    </row>
    <row r="7" spans="1:12" x14ac:dyDescent="0.2">
      <c r="D7" s="1" t="s">
        <v>11</v>
      </c>
      <c r="E7">
        <v>0</v>
      </c>
    </row>
    <row r="8" spans="1:12" x14ac:dyDescent="0.2">
      <c r="D8" s="1" t="s">
        <v>13</v>
      </c>
      <c r="E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 sample test</vt:lpstr>
      <vt:lpstr>Two sample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Chastain</dc:creator>
  <cp:lastModifiedBy>Achara, Achara</cp:lastModifiedBy>
  <dcterms:created xsi:type="dcterms:W3CDTF">2023-01-14T19:00:36Z</dcterms:created>
  <dcterms:modified xsi:type="dcterms:W3CDTF">2025-09-03T00:09:07Z</dcterms:modified>
</cp:coreProperties>
</file>