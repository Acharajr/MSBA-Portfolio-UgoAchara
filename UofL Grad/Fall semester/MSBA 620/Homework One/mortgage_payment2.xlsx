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MSBA 620/Homework One/"/>
    </mc:Choice>
  </mc:AlternateContent>
  <xr:revisionPtr revIDLastSave="70" documentId="8_{FFE60320-8C95-2C4F-BBBB-47FF59FF7802}" xr6:coauthVersionLast="47" xr6:coauthVersionMax="47" xr10:uidLastSave="{BBADB8CF-85AE-B54B-ACA2-1428777D96D8}"/>
  <bookViews>
    <workbookView xWindow="0" yWindow="0" windowWidth="28800" windowHeight="18000" xr2:uid="{31BE72AC-4FF8-5A4E-A7EC-A14E52B0D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I4" i="1"/>
  <c r="I9" i="1" l="1"/>
  <c r="I7" i="1"/>
  <c r="I6" i="1"/>
  <c r="I5" i="1"/>
  <c r="I8" i="1" l="1"/>
</calcChain>
</file>

<file path=xl/sharedStrings.xml><?xml version="1.0" encoding="utf-8"?>
<sst xmlns="http://schemas.openxmlformats.org/spreadsheetml/2006/main" count="61" uniqueCount="33">
  <si>
    <t>This Year</t>
  </si>
  <si>
    <t>5 years ago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</si>
  <si>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</si>
  <si>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</si>
  <si>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</si>
  <si>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</si>
  <si>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</si>
  <si>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</si>
  <si>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</si>
  <si>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</si>
  <si>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</si>
  <si>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</si>
  <si>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</si>
  <si>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</si>
  <si>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meandiff</t>
  </si>
  <si>
    <t>stderr</t>
  </si>
  <si>
    <t>tCrit</t>
  </si>
  <si>
    <t>marerr</t>
  </si>
  <si>
    <t>LCL</t>
  </si>
  <si>
    <t>UCL</t>
  </si>
  <si>
    <t>est of meandiff</t>
  </si>
  <si>
    <t>confilvl</t>
  </si>
  <si>
    <t>12 +/-2</t>
  </si>
  <si>
    <t>(10, 14)</t>
  </si>
  <si>
    <t>F-Test Two-Sample for Variances</t>
  </si>
  <si>
    <t>F</t>
  </si>
  <si>
    <t>P(F&lt;=f) one-tail</t>
  </si>
  <si>
    <t>F Critical one-tail</t>
  </si>
  <si>
    <t>compare with 0.05</t>
  </si>
  <si>
    <t>t-Test: Two-Sample Assuming Equal Variances</t>
  </si>
  <si>
    <t>Pooled Variance</t>
  </si>
  <si>
    <t>12 +/- 33</t>
  </si>
  <si>
    <t>(-21, 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</si>
</sst>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A521-1360-AF43-A5BC-2D6A0DBA9AB1}">
  <dimension ref="A1:I126"/>
  <sheetViews>
    <sheetView tabSelected="1" zoomScale="114" zoomScaleNormal="150" workbookViewId="0">
      <selection activeCell="H26" sqref="H26"/>
    </sheetView>
  </sheetViews>
  <sheetFormatPr baseColWidth="10" defaultRowHeight="16" x14ac:dyDescent="0.2"/>
  <cols>
    <col min="5" max="5" width="30.33203125" bestFit="1" customWidth="1"/>
    <col min="6" max="7" width="12.1640625" bestFit="1" customWidth="1"/>
    <col min="8" max="8" width="17.5" bestFit="1" customWidth="1"/>
  </cols>
  <sheetData>
    <row r="1" spans="1:9" x14ac:dyDescent="0.2">
      <c r="A1" s="1" t="s">
        <v>0</v>
      </c>
      <c r="B1" s="1" t="s">
        <v>1</v>
      </c>
      <c r="E1" t="s">
        <v>2</v>
      </c>
    </row>
    <row r="2" spans="1:9" ht="17" thickBot="1" x14ac:dyDescent="0.25">
      <c r="A2" s="2">
        <v>613.21</v>
      </c>
      <c r="B2" s="2">
        <v>783.31</v>
      </c>
    </row>
    <row r="3" spans="1:9" x14ac:dyDescent="0.2">
      <c r="A3" s="2">
        <v>551.66</v>
      </c>
      <c r="B3" s="2">
        <v>498.33</v>
      </c>
      <c r="E3" s="5"/>
      <c r="F3" s="5" t="s">
        <v>0</v>
      </c>
      <c r="G3" s="5" t="s">
        <v>1</v>
      </c>
    </row>
    <row r="4" spans="1:9" x14ac:dyDescent="0.2">
      <c r="A4" s="2">
        <v>633.4</v>
      </c>
      <c r="B4" s="2">
        <v>560.79999999999995</v>
      </c>
      <c r="E4" s="3" t="s">
        <v>3</v>
      </c>
      <c r="F4" s="3">
        <v>930.66672000000005</v>
      </c>
      <c r="G4" s="3">
        <v>918.67448000000013</v>
      </c>
      <c r="H4" t="s">
        <v>14</v>
      </c>
      <c r="I4">
        <f>F4-G4</f>
        <v>11.992239999999924</v>
      </c>
    </row>
    <row r="5" spans="1:9" x14ac:dyDescent="0.2">
      <c r="A5" s="2">
        <v>703.02</v>
      </c>
      <c r="B5" s="2">
        <v>745.84</v>
      </c>
      <c r="E5" s="3" t="s">
        <v>4</v>
      </c>
      <c r="F5" s="3">
        <v>31302.232691573761</v>
      </c>
      <c r="G5" s="3">
        <v>39711.370345896292</v>
      </c>
      <c r="H5" t="s">
        <v>15</v>
      </c>
      <c r="I5">
        <f>SQRT(F5/G5)</f>
        <v>0.88783082796150903</v>
      </c>
    </row>
    <row r="6" spans="1:9" x14ac:dyDescent="0.2">
      <c r="A6" s="2">
        <v>1158.98</v>
      </c>
      <c r="B6" s="2">
        <v>1135.76</v>
      </c>
      <c r="E6" s="3" t="s">
        <v>5</v>
      </c>
      <c r="F6" s="3">
        <v>125</v>
      </c>
      <c r="G6" s="3">
        <v>125</v>
      </c>
      <c r="H6" t="s">
        <v>16</v>
      </c>
      <c r="I6">
        <f>F14</f>
        <v>1.9792801166048588</v>
      </c>
    </row>
    <row r="7" spans="1:9" x14ac:dyDescent="0.2">
      <c r="A7" s="2">
        <v>1203.77</v>
      </c>
      <c r="B7" s="2">
        <v>1342.59</v>
      </c>
      <c r="E7" s="3" t="s">
        <v>6</v>
      </c>
      <c r="F7" s="3">
        <v>0.87345285122689065</v>
      </c>
      <c r="G7" s="3"/>
      <c r="H7" t="s">
        <v>17</v>
      </c>
      <c r="I7">
        <f>I6*I5</f>
        <v>1.7572659046930439</v>
      </c>
    </row>
    <row r="8" spans="1:9" x14ac:dyDescent="0.2">
      <c r="A8" s="2">
        <v>958.4</v>
      </c>
      <c r="B8" s="2">
        <v>1003.81</v>
      </c>
      <c r="E8" s="3" t="s">
        <v>7</v>
      </c>
      <c r="F8" s="3">
        <v>0</v>
      </c>
      <c r="G8" s="3"/>
      <c r="H8" t="s">
        <v>18</v>
      </c>
      <c r="I8">
        <f>I4-I7</f>
        <v>10.23497409530688</v>
      </c>
    </row>
    <row r="9" spans="1:9" x14ac:dyDescent="0.2">
      <c r="A9" s="2">
        <v>872.57</v>
      </c>
      <c r="B9" s="2">
        <v>874.24</v>
      </c>
      <c r="E9" s="3" t="s">
        <v>8</v>
      </c>
      <c r="F9" s="3">
        <v>124</v>
      </c>
      <c r="G9" s="3"/>
      <c r="H9" t="s">
        <v>19</v>
      </c>
      <c r="I9">
        <f>I4+I7</f>
        <v>13.749505904692969</v>
      </c>
    </row>
    <row r="10" spans="1:9" x14ac:dyDescent="0.2">
      <c r="A10" s="2">
        <v>1086.69</v>
      </c>
      <c r="B10" s="2">
        <v>886.97</v>
      </c>
      <c r="E10" s="3" t="s">
        <v>9</v>
      </c>
      <c r="F10" s="3">
        <v>1.3812142553302291</v>
      </c>
      <c r="G10" s="3"/>
    </row>
    <row r="11" spans="1:9" x14ac:dyDescent="0.2">
      <c r="A11" s="2">
        <v>692.15</v>
      </c>
      <c r="B11" s="2">
        <v>760.52</v>
      </c>
      <c r="E11" s="3" t="s">
        <v>10</v>
      </c>
      <c r="F11" s="3">
        <v>8.4848536451638923E-2</v>
      </c>
      <c r="G11" s="3"/>
    </row>
    <row r="12" spans="1:9" x14ac:dyDescent="0.2">
      <c r="A12" s="2">
        <v>785.58</v>
      </c>
      <c r="B12" s="2">
        <v>819.59</v>
      </c>
      <c r="E12" s="3" t="s">
        <v>11</v>
      </c>
      <c r="F12" s="3">
        <v>1.6572349701508449</v>
      </c>
      <c r="G12" s="3"/>
      <c r="H12" t="s">
        <v>20</v>
      </c>
      <c r="I12" t="s">
        <v>22</v>
      </c>
    </row>
    <row r="13" spans="1:9" x14ac:dyDescent="0.2">
      <c r="A13" s="2">
        <v>1196.76</v>
      </c>
      <c r="B13" s="2">
        <v>1127.73</v>
      </c>
      <c r="E13" s="3" t="s">
        <v>12</v>
      </c>
      <c r="F13" s="3">
        <v>0.16969707290327785</v>
      </c>
      <c r="G13" s="3"/>
      <c r="H13" t="s">
        <v>21</v>
      </c>
      <c r="I13" t="s">
        <v>23</v>
      </c>
    </row>
    <row r="14" spans="1:9" ht="17" thickBot="1" x14ac:dyDescent="0.25">
      <c r="A14" s="2">
        <v>705.87</v>
      </c>
      <c r="B14" s="2">
        <v>614.28</v>
      </c>
      <c r="E14" s="4" t="s">
        <v>13</v>
      </c>
      <c r="F14" s="4">
        <v>1.9792801166048588</v>
      </c>
      <c r="G14" s="4"/>
    </row>
    <row r="15" spans="1:9" x14ac:dyDescent="0.2">
      <c r="A15" s="2">
        <v>380.99</v>
      </c>
      <c r="B15" s="2">
        <v>318.20999999999998</v>
      </c>
    </row>
    <row r="16" spans="1:9" x14ac:dyDescent="0.2">
      <c r="A16" s="2">
        <v>964.1</v>
      </c>
      <c r="B16" s="2">
        <v>769.98</v>
      </c>
    </row>
    <row r="17" spans="1:9" x14ac:dyDescent="0.2">
      <c r="A17" s="2">
        <v>1025.3399999999999</v>
      </c>
      <c r="B17" s="2">
        <v>1030.6199999999999</v>
      </c>
      <c r="E17" t="s">
        <v>24</v>
      </c>
    </row>
    <row r="18" spans="1:9" ht="17" thickBot="1" x14ac:dyDescent="0.25">
      <c r="A18" s="2">
        <v>726.33</v>
      </c>
      <c r="B18" s="2">
        <v>593.46</v>
      </c>
    </row>
    <row r="19" spans="1:9" x14ac:dyDescent="0.2">
      <c r="A19" s="2">
        <v>700.16</v>
      </c>
      <c r="B19" s="2">
        <v>731.64</v>
      </c>
      <c r="E19" s="5"/>
      <c r="F19" s="5" t="s">
        <v>0</v>
      </c>
      <c r="G19" s="5" t="s">
        <v>1</v>
      </c>
    </row>
    <row r="20" spans="1:9" x14ac:dyDescent="0.2">
      <c r="A20" s="2">
        <v>847.21</v>
      </c>
      <c r="B20" s="2">
        <v>885.72</v>
      </c>
      <c r="E20" s="3" t="s">
        <v>3</v>
      </c>
      <c r="F20" s="3">
        <v>930.66672000000005</v>
      </c>
      <c r="G20" s="3">
        <v>918.67448000000013</v>
      </c>
    </row>
    <row r="21" spans="1:9" x14ac:dyDescent="0.2">
      <c r="A21" s="2">
        <v>767.43</v>
      </c>
      <c r="B21" s="2">
        <v>813.06</v>
      </c>
      <c r="E21" s="3" t="s">
        <v>4</v>
      </c>
      <c r="F21" s="3">
        <v>31302.232691573761</v>
      </c>
      <c r="G21" s="3">
        <v>39711.370345896292</v>
      </c>
    </row>
    <row r="22" spans="1:9" x14ac:dyDescent="0.2">
      <c r="A22" s="2">
        <v>858.47</v>
      </c>
      <c r="B22" s="2">
        <v>732.88</v>
      </c>
      <c r="E22" s="3" t="s">
        <v>5</v>
      </c>
      <c r="F22" s="3">
        <v>125</v>
      </c>
      <c r="G22" s="3">
        <v>125</v>
      </c>
    </row>
    <row r="23" spans="1:9" x14ac:dyDescent="0.2">
      <c r="A23" s="2">
        <v>966.11</v>
      </c>
      <c r="B23" s="2">
        <v>922.84</v>
      </c>
      <c r="E23" s="3" t="s">
        <v>8</v>
      </c>
      <c r="F23" s="3">
        <v>124</v>
      </c>
      <c r="G23" s="3">
        <v>124</v>
      </c>
    </row>
    <row r="24" spans="1:9" x14ac:dyDescent="0.2">
      <c r="A24" s="2">
        <v>501.64</v>
      </c>
      <c r="B24" s="2">
        <v>428.1</v>
      </c>
      <c r="E24" s="3" t="s">
        <v>25</v>
      </c>
      <c r="F24" s="3">
        <v>0.7882435790788187</v>
      </c>
      <c r="G24" s="3"/>
    </row>
    <row r="25" spans="1:9" x14ac:dyDescent="0.2">
      <c r="A25" s="2">
        <v>921.37</v>
      </c>
      <c r="B25" s="2">
        <v>801.76</v>
      </c>
      <c r="E25" s="3" t="s">
        <v>26</v>
      </c>
      <c r="F25" s="3">
        <v>9.3314171598390949E-2</v>
      </c>
      <c r="G25" s="3"/>
      <c r="H25" t="s">
        <v>28</v>
      </c>
    </row>
    <row r="26" spans="1:9" ht="17" thickBot="1" x14ac:dyDescent="0.25">
      <c r="A26" s="2">
        <v>747.42</v>
      </c>
      <c r="B26" s="2">
        <v>558.12</v>
      </c>
      <c r="E26" s="4" t="s">
        <v>27</v>
      </c>
      <c r="F26" s="4">
        <v>0.74337083988593911</v>
      </c>
      <c r="G26" s="4"/>
    </row>
    <row r="27" spans="1:9" x14ac:dyDescent="0.2">
      <c r="A27" s="2">
        <v>993.44</v>
      </c>
      <c r="B27" s="2">
        <v>1044.33</v>
      </c>
    </row>
    <row r="28" spans="1:9" x14ac:dyDescent="0.2">
      <c r="A28" s="2">
        <v>872.8</v>
      </c>
      <c r="B28" s="2">
        <v>814.49</v>
      </c>
    </row>
    <row r="29" spans="1:9" x14ac:dyDescent="0.2">
      <c r="A29" s="2">
        <v>1006.41</v>
      </c>
      <c r="B29" s="2">
        <v>981.71</v>
      </c>
      <c r="E29" t="s">
        <v>29</v>
      </c>
    </row>
    <row r="30" spans="1:9" ht="17" thickBot="1" x14ac:dyDescent="0.25">
      <c r="A30" s="2">
        <v>957.56</v>
      </c>
      <c r="B30" s="2">
        <v>862.93</v>
      </c>
    </row>
    <row r="31" spans="1:9" x14ac:dyDescent="0.2">
      <c r="A31" s="2">
        <v>927.7</v>
      </c>
      <c r="B31" s="2">
        <v>981.66</v>
      </c>
      <c r="E31" s="5"/>
      <c r="F31" s="5" t="s">
        <v>0</v>
      </c>
      <c r="G31" s="5" t="s">
        <v>1</v>
      </c>
    </row>
    <row r="32" spans="1:9" x14ac:dyDescent="0.2">
      <c r="A32" s="2">
        <v>791.51</v>
      </c>
      <c r="B32" s="2">
        <v>829.34</v>
      </c>
      <c r="E32" s="3" t="s">
        <v>3</v>
      </c>
      <c r="F32" s="3">
        <v>930.66672000000005</v>
      </c>
      <c r="G32" s="3">
        <v>918.67448000000013</v>
      </c>
      <c r="H32" t="s">
        <v>14</v>
      </c>
      <c r="I32">
        <f>F32-G32</f>
        <v>11.992239999999924</v>
      </c>
    </row>
    <row r="33" spans="1:9" x14ac:dyDescent="0.2">
      <c r="A33" s="2">
        <v>926.52</v>
      </c>
      <c r="B33" s="2">
        <v>937.86</v>
      </c>
      <c r="E33" s="3" t="s">
        <v>4</v>
      </c>
      <c r="F33" s="3">
        <v>31302.232691573761</v>
      </c>
      <c r="G33" s="3">
        <v>39711.370345896292</v>
      </c>
      <c r="H33" t="s">
        <v>15</v>
      </c>
      <c r="I33">
        <f>SQRT(F35*(1/F34)+(1/G34))</f>
        <v>16.854151184496956</v>
      </c>
    </row>
    <row r="34" spans="1:9" x14ac:dyDescent="0.2">
      <c r="A34" s="2">
        <v>916.45</v>
      </c>
      <c r="B34" s="2">
        <v>1022.83</v>
      </c>
      <c r="E34" s="3" t="s">
        <v>5</v>
      </c>
      <c r="F34" s="3">
        <v>125</v>
      </c>
      <c r="G34" s="3">
        <v>125</v>
      </c>
      <c r="H34" t="s">
        <v>16</v>
      </c>
      <c r="I34">
        <f>F42</f>
        <v>1.9695756536261022</v>
      </c>
    </row>
    <row r="35" spans="1:9" x14ac:dyDescent="0.2">
      <c r="A35" s="2">
        <v>790.54</v>
      </c>
      <c r="B35" s="2">
        <v>749.18</v>
      </c>
      <c r="E35" s="3" t="s">
        <v>30</v>
      </c>
      <c r="F35" s="3">
        <v>35506.801518735025</v>
      </c>
      <c r="G35" s="3"/>
      <c r="H35" t="s">
        <v>17</v>
      </c>
      <c r="I35">
        <f>I34*I33</f>
        <v>33.195525835518737</v>
      </c>
    </row>
    <row r="36" spans="1:9" x14ac:dyDescent="0.2">
      <c r="A36" s="2">
        <v>1026.06</v>
      </c>
      <c r="B36" s="2">
        <v>1053.49</v>
      </c>
      <c r="E36" s="3" t="s">
        <v>7</v>
      </c>
      <c r="F36" s="3">
        <v>0</v>
      </c>
      <c r="G36" s="3"/>
      <c r="H36" t="s">
        <v>18</v>
      </c>
      <c r="I36">
        <f>I32-I35</f>
        <v>-21.203285835518813</v>
      </c>
    </row>
    <row r="37" spans="1:9" x14ac:dyDescent="0.2">
      <c r="A37" s="2">
        <v>1071.33</v>
      </c>
      <c r="B37" s="2">
        <v>1046.71</v>
      </c>
      <c r="E37" s="3" t="s">
        <v>8</v>
      </c>
      <c r="F37" s="3">
        <v>248</v>
      </c>
      <c r="G37" s="3"/>
      <c r="H37" t="s">
        <v>19</v>
      </c>
      <c r="I37">
        <f>I32+I35</f>
        <v>45.187765835518661</v>
      </c>
    </row>
    <row r="38" spans="1:9" x14ac:dyDescent="0.2">
      <c r="A38" s="2">
        <v>954.09</v>
      </c>
      <c r="B38" s="2">
        <v>838.61</v>
      </c>
      <c r="E38" s="3" t="s">
        <v>9</v>
      </c>
      <c r="F38" s="3">
        <v>0.50313501657794546</v>
      </c>
      <c r="G38" s="3"/>
    </row>
    <row r="39" spans="1:9" x14ac:dyDescent="0.2">
      <c r="A39" s="2">
        <v>823.69</v>
      </c>
      <c r="B39" s="2">
        <v>966.36</v>
      </c>
      <c r="E39" s="3" t="s">
        <v>10</v>
      </c>
      <c r="F39" s="3">
        <v>0.30765795040620969</v>
      </c>
      <c r="G39" s="3"/>
    </row>
    <row r="40" spans="1:9" x14ac:dyDescent="0.2">
      <c r="A40" s="2">
        <v>973.28</v>
      </c>
      <c r="B40" s="2">
        <v>901.78</v>
      </c>
      <c r="E40" s="3" t="s">
        <v>11</v>
      </c>
      <c r="F40" s="3">
        <v>1.6510210131761827</v>
      </c>
      <c r="G40" s="3"/>
      <c r="H40" t="s">
        <v>20</v>
      </c>
      <c r="I40" t="s">
        <v>31</v>
      </c>
    </row>
    <row r="41" spans="1:9" x14ac:dyDescent="0.2">
      <c r="A41" s="2">
        <v>851.19</v>
      </c>
      <c r="B41" s="2">
        <v>879.88</v>
      </c>
      <c r="E41" s="3" t="s">
        <v>12</v>
      </c>
      <c r="F41" s="3">
        <v>0.61531590081241938</v>
      </c>
      <c r="G41" s="3"/>
      <c r="H41" t="s">
        <v>21</v>
      </c>
      <c r="I41" t="s">
        <v>32</v>
      </c>
    </row>
    <row r="42" spans="1:9" ht="17" thickBot="1" x14ac:dyDescent="0.25">
      <c r="A42" s="2">
        <v>829.46</v>
      </c>
      <c r="B42" s="2">
        <v>705.31</v>
      </c>
      <c r="E42" s="4" t="s">
        <v>13</v>
      </c>
      <c r="F42" s="4">
        <v>1.9695756536261022</v>
      </c>
      <c r="G42" s="4"/>
    </row>
    <row r="43" spans="1:9" x14ac:dyDescent="0.2">
      <c r="A43" s="2">
        <v>845.07</v>
      </c>
      <c r="B43" s="2">
        <v>597.36</v>
      </c>
    </row>
    <row r="44" spans="1:9" x14ac:dyDescent="0.2">
      <c r="A44" s="2">
        <v>1150.5899999999999</v>
      </c>
      <c r="B44" s="2">
        <v>817.73</v>
      </c>
    </row>
    <row r="45" spans="1:9" x14ac:dyDescent="0.2">
      <c r="A45" s="2">
        <v>865.7</v>
      </c>
      <c r="B45" s="2">
        <v>687.39</v>
      </c>
    </row>
    <row r="46" spans="1:9" x14ac:dyDescent="0.2">
      <c r="A46" s="2">
        <v>992.31</v>
      </c>
      <c r="B46" s="2">
        <v>1136.48</v>
      </c>
    </row>
    <row r="47" spans="1:9" x14ac:dyDescent="0.2">
      <c r="A47" s="2">
        <v>1105.74</v>
      </c>
      <c r="B47" s="2">
        <v>1162.46</v>
      </c>
    </row>
    <row r="48" spans="1:9" x14ac:dyDescent="0.2">
      <c r="A48" s="2">
        <v>1098.17</v>
      </c>
      <c r="B48" s="2">
        <v>1056.31</v>
      </c>
    </row>
    <row r="49" spans="1:2" x14ac:dyDescent="0.2">
      <c r="A49" s="2">
        <v>949.96</v>
      </c>
      <c r="B49" s="2">
        <v>971.49</v>
      </c>
    </row>
    <row r="50" spans="1:2" x14ac:dyDescent="0.2">
      <c r="A50" s="2">
        <v>832.38</v>
      </c>
      <c r="B50" s="2">
        <v>723.45</v>
      </c>
    </row>
    <row r="51" spans="1:2" x14ac:dyDescent="0.2">
      <c r="A51" s="2">
        <v>706.99</v>
      </c>
      <c r="B51" s="2">
        <v>579.4</v>
      </c>
    </row>
    <row r="52" spans="1:2" x14ac:dyDescent="0.2">
      <c r="A52" s="2">
        <v>776.6</v>
      </c>
      <c r="B52" s="2">
        <v>712.53</v>
      </c>
    </row>
    <row r="53" spans="1:2" x14ac:dyDescent="0.2">
      <c r="A53" s="2">
        <v>914.53</v>
      </c>
      <c r="B53" s="2">
        <v>919.6</v>
      </c>
    </row>
    <row r="54" spans="1:2" x14ac:dyDescent="0.2">
      <c r="A54" s="2">
        <v>950.93</v>
      </c>
      <c r="B54" s="2">
        <v>1000.64</v>
      </c>
    </row>
    <row r="55" spans="1:2" x14ac:dyDescent="0.2">
      <c r="A55" s="2">
        <v>844.96</v>
      </c>
      <c r="B55" s="2">
        <v>943.07</v>
      </c>
    </row>
    <row r="56" spans="1:2" x14ac:dyDescent="0.2">
      <c r="A56" s="2">
        <v>1272.33</v>
      </c>
      <c r="B56" s="2">
        <v>1177.3399999999999</v>
      </c>
    </row>
    <row r="57" spans="1:2" x14ac:dyDescent="0.2">
      <c r="A57" s="2">
        <v>1193.77</v>
      </c>
      <c r="B57" s="2">
        <v>1260.44</v>
      </c>
    </row>
    <row r="58" spans="1:2" x14ac:dyDescent="0.2">
      <c r="A58" s="2">
        <v>1192.95</v>
      </c>
      <c r="B58" s="2">
        <v>1029.5899999999999</v>
      </c>
    </row>
    <row r="59" spans="1:2" x14ac:dyDescent="0.2">
      <c r="A59" s="2">
        <v>889.18</v>
      </c>
      <c r="B59" s="2">
        <v>932.37</v>
      </c>
    </row>
    <row r="60" spans="1:2" x14ac:dyDescent="0.2">
      <c r="A60" s="2">
        <v>785.99</v>
      </c>
      <c r="B60" s="2">
        <v>891.97</v>
      </c>
    </row>
    <row r="61" spans="1:2" x14ac:dyDescent="0.2">
      <c r="A61" s="2">
        <v>794.99</v>
      </c>
      <c r="B61" s="2">
        <v>786.56</v>
      </c>
    </row>
    <row r="62" spans="1:2" x14ac:dyDescent="0.2">
      <c r="A62" s="2">
        <v>1420.67</v>
      </c>
      <c r="B62" s="2">
        <v>1359.69</v>
      </c>
    </row>
    <row r="63" spans="1:2" x14ac:dyDescent="0.2">
      <c r="A63" s="2">
        <v>769.54</v>
      </c>
      <c r="B63" s="2">
        <v>716.6</v>
      </c>
    </row>
    <row r="64" spans="1:2" x14ac:dyDescent="0.2">
      <c r="A64" s="2">
        <v>905</v>
      </c>
      <c r="B64" s="2">
        <v>1051.43</v>
      </c>
    </row>
    <row r="65" spans="1:2" x14ac:dyDescent="0.2">
      <c r="A65" s="2">
        <v>937.82</v>
      </c>
      <c r="B65" s="2">
        <v>771.66</v>
      </c>
    </row>
    <row r="66" spans="1:2" x14ac:dyDescent="0.2">
      <c r="A66" s="2">
        <v>837.85</v>
      </c>
      <c r="B66" s="2">
        <v>691.59</v>
      </c>
    </row>
    <row r="67" spans="1:2" x14ac:dyDescent="0.2">
      <c r="A67" s="2">
        <v>830.56</v>
      </c>
      <c r="B67" s="2">
        <v>862.17</v>
      </c>
    </row>
    <row r="68" spans="1:2" x14ac:dyDescent="0.2">
      <c r="A68" s="2">
        <v>1006.75</v>
      </c>
      <c r="B68" s="2">
        <v>1011.87</v>
      </c>
    </row>
    <row r="69" spans="1:2" x14ac:dyDescent="0.2">
      <c r="A69" s="2">
        <v>1014.53</v>
      </c>
      <c r="B69" s="2">
        <v>970.39</v>
      </c>
    </row>
    <row r="70" spans="1:2" x14ac:dyDescent="0.2">
      <c r="A70" s="2">
        <v>859.22</v>
      </c>
      <c r="B70" s="2">
        <v>740.95</v>
      </c>
    </row>
    <row r="71" spans="1:2" x14ac:dyDescent="0.2">
      <c r="A71" s="2">
        <v>844.19</v>
      </c>
      <c r="B71" s="2">
        <v>837.66</v>
      </c>
    </row>
    <row r="72" spans="1:2" x14ac:dyDescent="0.2">
      <c r="A72" s="2">
        <v>653.69000000000005</v>
      </c>
      <c r="B72" s="2">
        <v>713.55</v>
      </c>
    </row>
    <row r="73" spans="1:2" x14ac:dyDescent="0.2">
      <c r="A73" s="2">
        <v>1036.43</v>
      </c>
      <c r="B73" s="2">
        <v>1083.54</v>
      </c>
    </row>
    <row r="74" spans="1:2" x14ac:dyDescent="0.2">
      <c r="A74" s="2">
        <v>936.32</v>
      </c>
      <c r="B74" s="2">
        <v>993.66</v>
      </c>
    </row>
    <row r="75" spans="1:2" x14ac:dyDescent="0.2">
      <c r="A75" s="2">
        <v>1067.83</v>
      </c>
      <c r="B75" s="2">
        <v>934.16</v>
      </c>
    </row>
    <row r="76" spans="1:2" x14ac:dyDescent="0.2">
      <c r="A76" s="2">
        <v>785.78</v>
      </c>
      <c r="B76" s="2">
        <v>734.07</v>
      </c>
    </row>
    <row r="77" spans="1:2" x14ac:dyDescent="0.2">
      <c r="A77" s="2">
        <v>1289.97</v>
      </c>
      <c r="B77" s="2">
        <v>1203.78</v>
      </c>
    </row>
    <row r="78" spans="1:2" x14ac:dyDescent="0.2">
      <c r="A78" s="2">
        <v>1019.45</v>
      </c>
      <c r="B78" s="2">
        <v>1084</v>
      </c>
    </row>
    <row r="79" spans="1:2" x14ac:dyDescent="0.2">
      <c r="A79" s="2">
        <v>1154.3399999999999</v>
      </c>
      <c r="B79" s="2">
        <v>1220.97</v>
      </c>
    </row>
    <row r="80" spans="1:2" x14ac:dyDescent="0.2">
      <c r="A80" s="2">
        <v>766</v>
      </c>
      <c r="B80" s="2">
        <v>849.81</v>
      </c>
    </row>
    <row r="81" spans="1:2" x14ac:dyDescent="0.2">
      <c r="A81" s="2">
        <v>1064.6300000000001</v>
      </c>
      <c r="B81" s="2">
        <v>1065.69</v>
      </c>
    </row>
    <row r="82" spans="1:2" x14ac:dyDescent="0.2">
      <c r="A82" s="2">
        <v>1107.3399999999999</v>
      </c>
      <c r="B82" s="2">
        <v>986.74</v>
      </c>
    </row>
    <row r="83" spans="1:2" x14ac:dyDescent="0.2">
      <c r="A83" s="2">
        <v>1135.3900000000001</v>
      </c>
      <c r="B83" s="2">
        <v>1038.17</v>
      </c>
    </row>
    <row r="84" spans="1:2" x14ac:dyDescent="0.2">
      <c r="A84" s="2">
        <v>969.32</v>
      </c>
      <c r="B84" s="2">
        <v>924.85</v>
      </c>
    </row>
    <row r="85" spans="1:2" x14ac:dyDescent="0.2">
      <c r="A85" s="2">
        <v>679.52</v>
      </c>
      <c r="B85" s="2">
        <v>759.79</v>
      </c>
    </row>
    <row r="86" spans="1:2" x14ac:dyDescent="0.2">
      <c r="A86" s="2">
        <v>1306.6500000000001</v>
      </c>
      <c r="B86" s="2">
        <v>1319.13</v>
      </c>
    </row>
    <row r="87" spans="1:2" x14ac:dyDescent="0.2">
      <c r="A87" s="2">
        <v>882.13</v>
      </c>
      <c r="B87" s="2">
        <v>703.69</v>
      </c>
    </row>
    <row r="88" spans="1:2" x14ac:dyDescent="0.2">
      <c r="A88" s="2">
        <v>1156.1600000000001</v>
      </c>
      <c r="B88" s="2">
        <v>1285.6600000000001</v>
      </c>
    </row>
    <row r="89" spans="1:2" x14ac:dyDescent="0.2">
      <c r="A89" s="2">
        <v>1058.55</v>
      </c>
      <c r="B89" s="2">
        <v>1130.93</v>
      </c>
    </row>
    <row r="90" spans="1:2" x14ac:dyDescent="0.2">
      <c r="A90" s="2">
        <v>987.55</v>
      </c>
      <c r="B90" s="2">
        <v>901.81</v>
      </c>
    </row>
    <row r="91" spans="1:2" x14ac:dyDescent="0.2">
      <c r="A91" s="2">
        <v>1001.2</v>
      </c>
      <c r="B91" s="2">
        <v>999.7</v>
      </c>
    </row>
    <row r="92" spans="1:2" x14ac:dyDescent="0.2">
      <c r="A92" s="2">
        <v>1015.94</v>
      </c>
      <c r="B92" s="2">
        <v>1183.06</v>
      </c>
    </row>
    <row r="93" spans="1:2" x14ac:dyDescent="0.2">
      <c r="A93" s="2">
        <v>1071.57</v>
      </c>
      <c r="B93" s="2">
        <v>1192.8900000000001</v>
      </c>
    </row>
    <row r="94" spans="1:2" x14ac:dyDescent="0.2">
      <c r="A94" s="2">
        <v>873.11</v>
      </c>
      <c r="B94" s="2">
        <v>831.75</v>
      </c>
    </row>
    <row r="95" spans="1:2" x14ac:dyDescent="0.2">
      <c r="A95" s="2">
        <v>643.55999999999995</v>
      </c>
      <c r="B95" s="2">
        <v>577.35</v>
      </c>
    </row>
    <row r="96" spans="1:2" x14ac:dyDescent="0.2">
      <c r="A96" s="2">
        <v>1056.94</v>
      </c>
      <c r="B96" s="2">
        <v>903.02</v>
      </c>
    </row>
    <row r="97" spans="1:2" x14ac:dyDescent="0.2">
      <c r="A97" s="2">
        <v>882.3</v>
      </c>
      <c r="B97" s="2">
        <v>967.83</v>
      </c>
    </row>
    <row r="98" spans="1:2" x14ac:dyDescent="0.2">
      <c r="A98" s="2">
        <v>1006.83</v>
      </c>
      <c r="B98" s="2">
        <v>1101.75</v>
      </c>
    </row>
    <row r="99" spans="1:2" x14ac:dyDescent="0.2">
      <c r="A99" s="2">
        <v>835.93</v>
      </c>
      <c r="B99" s="2">
        <v>857.67</v>
      </c>
    </row>
    <row r="100" spans="1:2" x14ac:dyDescent="0.2">
      <c r="A100" s="2">
        <v>1161.75</v>
      </c>
      <c r="B100" s="2">
        <v>1224.46</v>
      </c>
    </row>
    <row r="101" spans="1:2" x14ac:dyDescent="0.2">
      <c r="A101" s="2">
        <v>1031.69</v>
      </c>
      <c r="B101" s="2">
        <v>1102.1400000000001</v>
      </c>
    </row>
    <row r="102" spans="1:2" x14ac:dyDescent="0.2">
      <c r="A102" s="2">
        <v>1078.51</v>
      </c>
      <c r="B102" s="2">
        <v>1210</v>
      </c>
    </row>
    <row r="103" spans="1:2" x14ac:dyDescent="0.2">
      <c r="A103" s="2">
        <v>692.49</v>
      </c>
      <c r="B103" s="2">
        <v>724.34</v>
      </c>
    </row>
    <row r="104" spans="1:2" x14ac:dyDescent="0.2">
      <c r="A104" s="2">
        <v>820.46</v>
      </c>
      <c r="B104" s="2">
        <v>824.06</v>
      </c>
    </row>
    <row r="105" spans="1:2" x14ac:dyDescent="0.2">
      <c r="A105" s="2">
        <v>1016.01</v>
      </c>
      <c r="B105" s="2">
        <v>969.14</v>
      </c>
    </row>
    <row r="106" spans="1:2" x14ac:dyDescent="0.2">
      <c r="A106" s="2">
        <v>678.78</v>
      </c>
      <c r="B106" s="2">
        <v>828.01</v>
      </c>
    </row>
    <row r="107" spans="1:2" x14ac:dyDescent="0.2">
      <c r="A107" s="2">
        <v>1082.32</v>
      </c>
      <c r="B107" s="2">
        <v>1095.75</v>
      </c>
    </row>
    <row r="108" spans="1:2" x14ac:dyDescent="0.2">
      <c r="A108" s="2">
        <v>984.96</v>
      </c>
      <c r="B108" s="2">
        <v>1006.39</v>
      </c>
    </row>
    <row r="109" spans="1:2" x14ac:dyDescent="0.2">
      <c r="A109" s="2">
        <v>1267.3800000000001</v>
      </c>
      <c r="B109" s="2">
        <v>1461.02</v>
      </c>
    </row>
    <row r="110" spans="1:2" x14ac:dyDescent="0.2">
      <c r="A110" s="2">
        <v>1022.35</v>
      </c>
      <c r="B110" s="2">
        <v>1012.31</v>
      </c>
    </row>
    <row r="111" spans="1:2" x14ac:dyDescent="0.2">
      <c r="A111" s="2">
        <v>753.21</v>
      </c>
      <c r="B111" s="2">
        <v>724.78</v>
      </c>
    </row>
    <row r="112" spans="1:2" x14ac:dyDescent="0.2">
      <c r="A112" s="2">
        <v>915.33</v>
      </c>
      <c r="B112" s="2">
        <v>959.13</v>
      </c>
    </row>
    <row r="113" spans="1:2" x14ac:dyDescent="0.2">
      <c r="A113" s="2">
        <v>1051.46</v>
      </c>
      <c r="B113" s="2">
        <v>979.36</v>
      </c>
    </row>
    <row r="114" spans="1:2" x14ac:dyDescent="0.2">
      <c r="A114" s="2">
        <v>825.76</v>
      </c>
      <c r="B114" s="2">
        <v>703.88</v>
      </c>
    </row>
    <row r="115" spans="1:2" x14ac:dyDescent="0.2">
      <c r="A115" s="2">
        <v>1058.28</v>
      </c>
      <c r="B115" s="2">
        <v>990.9</v>
      </c>
    </row>
    <row r="116" spans="1:2" x14ac:dyDescent="0.2">
      <c r="A116" s="2">
        <v>891.43</v>
      </c>
      <c r="B116" s="2">
        <v>888.71</v>
      </c>
    </row>
    <row r="117" spans="1:2" x14ac:dyDescent="0.2">
      <c r="A117" s="2">
        <v>768.28</v>
      </c>
      <c r="B117" s="2">
        <v>882.81</v>
      </c>
    </row>
    <row r="118" spans="1:2" x14ac:dyDescent="0.2">
      <c r="A118" s="2">
        <v>830.71</v>
      </c>
      <c r="B118" s="2">
        <v>949.45</v>
      </c>
    </row>
    <row r="119" spans="1:2" x14ac:dyDescent="0.2">
      <c r="A119" s="2">
        <v>1019.65</v>
      </c>
      <c r="B119" s="2">
        <v>1041.31</v>
      </c>
    </row>
    <row r="120" spans="1:2" x14ac:dyDescent="0.2">
      <c r="A120" s="2">
        <v>1075.3599999999999</v>
      </c>
      <c r="B120" s="2">
        <v>998.78</v>
      </c>
    </row>
    <row r="121" spans="1:2" x14ac:dyDescent="0.2">
      <c r="A121" s="2">
        <v>1043.1199999999999</v>
      </c>
      <c r="B121" s="2">
        <v>929.16</v>
      </c>
    </row>
    <row r="122" spans="1:2" x14ac:dyDescent="0.2">
      <c r="A122" s="2">
        <v>1070.83</v>
      </c>
      <c r="B122" s="2">
        <v>1022.38</v>
      </c>
    </row>
    <row r="123" spans="1:2" x14ac:dyDescent="0.2">
      <c r="A123" s="2">
        <v>1027.8900000000001</v>
      </c>
      <c r="B123" s="2">
        <v>1099.1400000000001</v>
      </c>
    </row>
    <row r="124" spans="1:2" x14ac:dyDescent="0.2">
      <c r="A124" s="2">
        <v>1225.82</v>
      </c>
      <c r="B124" s="2">
        <v>1170.8699999999999</v>
      </c>
    </row>
    <row r="125" spans="1:2" x14ac:dyDescent="0.2">
      <c r="A125" s="2">
        <v>889.68</v>
      </c>
      <c r="B125" s="2">
        <v>903.36</v>
      </c>
    </row>
    <row r="126" spans="1:2" x14ac:dyDescent="0.2">
      <c r="A126" s="2">
        <v>735.47</v>
      </c>
      <c r="B126" s="2">
        <v>826.83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Chastain, Raymond</dc:creator>
  <cp:lastModifiedBy>Achara, Achara</cp:lastModifiedBy>
  <dcterms:created xsi:type="dcterms:W3CDTF">2025-08-19T18:01:15Z</dcterms:created>
  <dcterms:modified xsi:type="dcterms:W3CDTF">2025-08-25T14:03:45Z</dcterms:modified>
</cp:coreProperties>
</file>